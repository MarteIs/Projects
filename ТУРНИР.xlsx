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istratormisis-my.sharepoint.com/personal/m2208723_edu_misis_ru/Documents/Рабочий стол/"/>
    </mc:Choice>
  </mc:AlternateContent>
  <xr:revisionPtr revIDLastSave="784" documentId="8_{320E507B-5EEA-4754-8D34-DB83D0DFF7CA}" xr6:coauthVersionLast="47" xr6:coauthVersionMax="47" xr10:uidLastSave="{C32445F2-8D12-47A7-9EBB-2A2CCCA10C72}"/>
  <bookViews>
    <workbookView xWindow="-108" yWindow="-108" windowWidth="23256" windowHeight="12456" xr2:uid="{2CA17DC8-B825-4296-ABD8-5E7EF012A4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C32" i="1"/>
  <c r="D32" i="1"/>
  <c r="E32" i="1"/>
  <c r="F32" i="1"/>
  <c r="G32" i="1"/>
  <c r="H32" i="1"/>
  <c r="I32" i="1"/>
  <c r="J32" i="1"/>
  <c r="K32" i="1"/>
  <c r="B32" i="1"/>
  <c r="C101" i="1"/>
  <c r="D101" i="1"/>
  <c r="E101" i="1"/>
  <c r="F101" i="1"/>
  <c r="G101" i="1"/>
  <c r="H101" i="1"/>
  <c r="I101" i="1"/>
  <c r="J101" i="1"/>
  <c r="K101" i="1"/>
  <c r="B101" i="1"/>
  <c r="C89" i="1"/>
  <c r="D89" i="1"/>
  <c r="E89" i="1"/>
  <c r="F89" i="1"/>
  <c r="G89" i="1"/>
  <c r="H89" i="1"/>
  <c r="I89" i="1"/>
  <c r="J89" i="1"/>
  <c r="K89" i="1"/>
  <c r="B89" i="1"/>
  <c r="C77" i="1"/>
  <c r="D77" i="1"/>
  <c r="E77" i="1"/>
  <c r="F77" i="1"/>
  <c r="G77" i="1"/>
  <c r="H77" i="1"/>
  <c r="I77" i="1"/>
  <c r="J77" i="1"/>
  <c r="K77" i="1"/>
  <c r="B77" i="1"/>
  <c r="C65" i="1"/>
  <c r="D65" i="1"/>
  <c r="E65" i="1"/>
  <c r="F65" i="1"/>
  <c r="G65" i="1"/>
  <c r="H65" i="1"/>
  <c r="I65" i="1"/>
  <c r="J65" i="1"/>
  <c r="K65" i="1"/>
  <c r="B65" i="1"/>
  <c r="B53" i="1"/>
  <c r="C41" i="1"/>
  <c r="D41" i="1"/>
  <c r="E41" i="1"/>
  <c r="F41" i="1"/>
  <c r="G41" i="1"/>
  <c r="H41" i="1"/>
  <c r="I41" i="1"/>
  <c r="J41" i="1"/>
  <c r="K41" i="1"/>
  <c r="B41" i="1"/>
  <c r="C29" i="1"/>
  <c r="D29" i="1"/>
  <c r="E29" i="1"/>
  <c r="F29" i="1"/>
  <c r="G29" i="1"/>
  <c r="H29" i="1"/>
  <c r="I29" i="1"/>
  <c r="J29" i="1"/>
  <c r="K29" i="1"/>
  <c r="B29" i="1"/>
  <c r="C17" i="1"/>
  <c r="D17" i="1"/>
  <c r="E17" i="1"/>
  <c r="F17" i="1"/>
  <c r="G17" i="1"/>
  <c r="H17" i="1"/>
  <c r="I17" i="1"/>
  <c r="J17" i="1"/>
  <c r="K17" i="1"/>
  <c r="B17" i="1"/>
  <c r="C53" i="1"/>
  <c r="D53" i="1"/>
  <c r="E53" i="1"/>
  <c r="F53" i="1"/>
  <c r="G53" i="1"/>
  <c r="H53" i="1"/>
  <c r="I53" i="1"/>
  <c r="J53" i="1"/>
  <c r="K53" i="1"/>
  <c r="R52" i="1"/>
  <c r="C92" i="1"/>
  <c r="D92" i="1"/>
  <c r="E92" i="1"/>
  <c r="F92" i="1"/>
  <c r="G92" i="1"/>
  <c r="I92" i="1"/>
  <c r="J92" i="1"/>
  <c r="K92" i="1"/>
  <c r="B92" i="1"/>
  <c r="C68" i="1"/>
  <c r="D68" i="1"/>
  <c r="E68" i="1"/>
  <c r="F68" i="1"/>
  <c r="G68" i="1"/>
  <c r="I68" i="1"/>
  <c r="J68" i="1"/>
  <c r="K68" i="1"/>
  <c r="B68" i="1"/>
  <c r="C80" i="1"/>
  <c r="D80" i="1"/>
  <c r="E80" i="1"/>
  <c r="G80" i="1"/>
  <c r="H80" i="1"/>
  <c r="I80" i="1"/>
  <c r="J80" i="1"/>
  <c r="K80" i="1"/>
  <c r="B80" i="1"/>
  <c r="B56" i="1"/>
  <c r="C56" i="1"/>
  <c r="D56" i="1"/>
  <c r="E56" i="1"/>
  <c r="F56" i="1"/>
  <c r="F57" i="1" s="1"/>
  <c r="F5" i="1" s="1"/>
  <c r="G56" i="1"/>
  <c r="H56" i="1"/>
  <c r="I56" i="1"/>
  <c r="J56" i="1"/>
  <c r="K56" i="1"/>
  <c r="B44" i="1"/>
  <c r="C44" i="1"/>
  <c r="D44" i="1"/>
  <c r="F44" i="1"/>
  <c r="F45" i="1" s="1"/>
  <c r="F4" i="1" s="1"/>
  <c r="G44" i="1"/>
  <c r="H44" i="1"/>
  <c r="I44" i="1"/>
  <c r="J44" i="1"/>
  <c r="K44" i="1"/>
  <c r="E44" i="1"/>
  <c r="T9" i="1"/>
  <c r="U9" i="1"/>
  <c r="V9" i="1"/>
  <c r="W9" i="1"/>
  <c r="X9" i="1"/>
  <c r="Y9" i="1"/>
  <c r="Z9" i="1"/>
  <c r="AA9" i="1"/>
  <c r="AB9" i="1"/>
  <c r="T8" i="1"/>
  <c r="U8" i="1"/>
  <c r="V8" i="1"/>
  <c r="W8" i="1"/>
  <c r="X8" i="1"/>
  <c r="Y8" i="1"/>
  <c r="Z8" i="1"/>
  <c r="AA8" i="1"/>
  <c r="AB8" i="1"/>
  <c r="T7" i="1"/>
  <c r="U7" i="1"/>
  <c r="V7" i="1"/>
  <c r="W7" i="1"/>
  <c r="X7" i="1"/>
  <c r="Y7" i="1"/>
  <c r="Z7" i="1"/>
  <c r="AA7" i="1"/>
  <c r="AB7" i="1"/>
  <c r="S7" i="1"/>
  <c r="S6" i="1"/>
  <c r="T6" i="1"/>
  <c r="U6" i="1"/>
  <c r="V6" i="1"/>
  <c r="W6" i="1"/>
  <c r="X6" i="1"/>
  <c r="Y6" i="1"/>
  <c r="Z6" i="1"/>
  <c r="AA6" i="1"/>
  <c r="AB6" i="1"/>
  <c r="T5" i="1"/>
  <c r="U5" i="1"/>
  <c r="V5" i="1"/>
  <c r="W5" i="1"/>
  <c r="X5" i="1"/>
  <c r="Y5" i="1"/>
  <c r="Z5" i="1"/>
  <c r="AA5" i="1"/>
  <c r="AB5" i="1"/>
  <c r="T4" i="1"/>
  <c r="U4" i="1"/>
  <c r="V4" i="1"/>
  <c r="W4" i="1"/>
  <c r="X4" i="1"/>
  <c r="Y4" i="1"/>
  <c r="Z4" i="1"/>
  <c r="AA4" i="1"/>
  <c r="AB4" i="1"/>
  <c r="S9" i="1"/>
  <c r="S8" i="1"/>
  <c r="S5" i="1"/>
  <c r="S4" i="1"/>
  <c r="S3" i="1"/>
  <c r="AA101" i="1"/>
  <c r="Z101" i="1"/>
  <c r="Y101" i="1"/>
  <c r="X101" i="1"/>
  <c r="W101" i="1"/>
  <c r="V101" i="1"/>
  <c r="U101" i="1"/>
  <c r="T101" i="1"/>
  <c r="S101" i="1"/>
  <c r="R101" i="1"/>
  <c r="AA100" i="1"/>
  <c r="Z100" i="1"/>
  <c r="Y100" i="1"/>
  <c r="X100" i="1"/>
  <c r="W100" i="1"/>
  <c r="V100" i="1"/>
  <c r="U100" i="1"/>
  <c r="T100" i="1"/>
  <c r="S100" i="1"/>
  <c r="R100" i="1"/>
  <c r="AA89" i="1"/>
  <c r="Z89" i="1"/>
  <c r="Y89" i="1"/>
  <c r="X89" i="1"/>
  <c r="W89" i="1"/>
  <c r="V89" i="1"/>
  <c r="U89" i="1"/>
  <c r="T89" i="1"/>
  <c r="S89" i="1"/>
  <c r="R89" i="1"/>
  <c r="AA88" i="1"/>
  <c r="Z88" i="1"/>
  <c r="Y88" i="1"/>
  <c r="X88" i="1"/>
  <c r="W88" i="1"/>
  <c r="V88" i="1"/>
  <c r="U88" i="1"/>
  <c r="T88" i="1"/>
  <c r="S88" i="1"/>
  <c r="R88" i="1"/>
  <c r="AA77" i="1"/>
  <c r="Z77" i="1"/>
  <c r="Y77" i="1"/>
  <c r="X77" i="1"/>
  <c r="W77" i="1"/>
  <c r="V77" i="1"/>
  <c r="U77" i="1"/>
  <c r="T77" i="1"/>
  <c r="S77" i="1"/>
  <c r="R77" i="1"/>
  <c r="AA76" i="1"/>
  <c r="Z76" i="1"/>
  <c r="Y76" i="1"/>
  <c r="X76" i="1"/>
  <c r="W76" i="1"/>
  <c r="V76" i="1"/>
  <c r="U76" i="1"/>
  <c r="T76" i="1"/>
  <c r="S76" i="1"/>
  <c r="R76" i="1"/>
  <c r="AA65" i="1"/>
  <c r="Z65" i="1"/>
  <c r="Y65" i="1"/>
  <c r="X65" i="1"/>
  <c r="W65" i="1"/>
  <c r="V65" i="1"/>
  <c r="U65" i="1"/>
  <c r="T65" i="1"/>
  <c r="S65" i="1"/>
  <c r="R65" i="1"/>
  <c r="AA64" i="1"/>
  <c r="Z64" i="1"/>
  <c r="Y64" i="1"/>
  <c r="X64" i="1"/>
  <c r="W64" i="1"/>
  <c r="V64" i="1"/>
  <c r="U64" i="1"/>
  <c r="T64" i="1"/>
  <c r="S64" i="1"/>
  <c r="R64" i="1"/>
  <c r="AA53" i="1"/>
  <c r="Z53" i="1"/>
  <c r="Y53" i="1"/>
  <c r="X53" i="1"/>
  <c r="W53" i="1"/>
  <c r="V53" i="1"/>
  <c r="U53" i="1"/>
  <c r="T53" i="1"/>
  <c r="S53" i="1"/>
  <c r="R53" i="1"/>
  <c r="AA52" i="1"/>
  <c r="Z52" i="1"/>
  <c r="Y52" i="1"/>
  <c r="X52" i="1"/>
  <c r="W52" i="1"/>
  <c r="V52" i="1"/>
  <c r="U52" i="1"/>
  <c r="T52" i="1"/>
  <c r="S52" i="1"/>
  <c r="AA41" i="1"/>
  <c r="Z41" i="1"/>
  <c r="Y41" i="1"/>
  <c r="X41" i="1"/>
  <c r="W41" i="1"/>
  <c r="V41" i="1"/>
  <c r="U41" i="1"/>
  <c r="T41" i="1"/>
  <c r="S41" i="1"/>
  <c r="R41" i="1"/>
  <c r="AA40" i="1"/>
  <c r="Z40" i="1"/>
  <c r="Y40" i="1"/>
  <c r="X40" i="1"/>
  <c r="W40" i="1"/>
  <c r="V40" i="1"/>
  <c r="U40" i="1"/>
  <c r="T40" i="1"/>
  <c r="S40" i="1"/>
  <c r="R40" i="1"/>
  <c r="S2" i="1"/>
  <c r="AF2" i="1" s="1"/>
  <c r="B20" i="1" s="1"/>
  <c r="T3" i="1"/>
  <c r="U3" i="1"/>
  <c r="V3" i="1"/>
  <c r="W3" i="1"/>
  <c r="X3" i="1"/>
  <c r="Y3" i="1"/>
  <c r="Z3" i="1"/>
  <c r="AA3" i="1"/>
  <c r="AB3" i="1"/>
  <c r="R29" i="1"/>
  <c r="Z29" i="1"/>
  <c r="AA29" i="1"/>
  <c r="T29" i="1"/>
  <c r="Y29" i="1"/>
  <c r="X29" i="1"/>
  <c r="W29" i="1"/>
  <c r="V29" i="1"/>
  <c r="U29" i="1"/>
  <c r="S29" i="1"/>
  <c r="AA28" i="1"/>
  <c r="Z28" i="1"/>
  <c r="Y28" i="1"/>
  <c r="X28" i="1"/>
  <c r="W28" i="1"/>
  <c r="V28" i="1"/>
  <c r="U28" i="1"/>
  <c r="T28" i="1"/>
  <c r="S28" i="1"/>
  <c r="R28" i="1"/>
  <c r="S17" i="1"/>
  <c r="T17" i="1"/>
  <c r="U17" i="1"/>
  <c r="V17" i="1"/>
  <c r="W17" i="1"/>
  <c r="X17" i="1"/>
  <c r="Y17" i="1"/>
  <c r="Z17" i="1"/>
  <c r="AA17" i="1"/>
  <c r="R17" i="1"/>
  <c r="S16" i="1"/>
  <c r="T16" i="1"/>
  <c r="U16" i="1"/>
  <c r="V16" i="1"/>
  <c r="W16" i="1"/>
  <c r="X16" i="1"/>
  <c r="Y16" i="1"/>
  <c r="Z16" i="1"/>
  <c r="AA16" i="1"/>
  <c r="R16" i="1"/>
  <c r="T2" i="1"/>
  <c r="AG2" i="1" s="1"/>
  <c r="C20" i="1" s="1"/>
  <c r="U2" i="1"/>
  <c r="AH2" i="1" s="1"/>
  <c r="D20" i="1" s="1"/>
  <c r="V2" i="1"/>
  <c r="AI2" i="1" s="1"/>
  <c r="E20" i="1" s="1"/>
  <c r="W2" i="1"/>
  <c r="AJ2" i="1" s="1"/>
  <c r="F20" i="1" s="1"/>
  <c r="X2" i="1"/>
  <c r="AK2" i="1" s="1"/>
  <c r="G20" i="1" s="1"/>
  <c r="Y2" i="1"/>
  <c r="AL2" i="1" s="1"/>
  <c r="H20" i="1" s="1"/>
  <c r="Z2" i="1"/>
  <c r="AM2" i="1" s="1"/>
  <c r="AA2" i="1"/>
  <c r="AN2" i="1" s="1"/>
  <c r="J20" i="1" s="1"/>
  <c r="AB2" i="1"/>
  <c r="AO2" i="1" s="1"/>
  <c r="K20" i="1" s="1"/>
  <c r="E45" i="1" l="1"/>
  <c r="E4" i="1" s="1"/>
  <c r="E33" i="1"/>
  <c r="E3" i="1" s="1"/>
  <c r="D33" i="1"/>
  <c r="D3" i="1" s="1"/>
  <c r="K33" i="1"/>
  <c r="K3" i="1" s="1"/>
  <c r="C33" i="1"/>
  <c r="C3" i="1" s="1"/>
  <c r="K21" i="1"/>
  <c r="K2" i="1" s="1"/>
  <c r="C21" i="1"/>
  <c r="C2" i="1" s="1"/>
  <c r="D21" i="1"/>
  <c r="D2" i="1" s="1"/>
  <c r="J21" i="1"/>
  <c r="J2" i="1" s="1"/>
  <c r="I21" i="1"/>
  <c r="I2" i="1" s="1"/>
  <c r="G21" i="1"/>
  <c r="G2" i="1" s="1"/>
  <c r="F21" i="1"/>
  <c r="F2" i="1" s="1"/>
  <c r="E21" i="1"/>
  <c r="E2" i="1" s="1"/>
  <c r="B21" i="1"/>
  <c r="B2" i="1" s="1"/>
  <c r="H21" i="1"/>
  <c r="H2" i="1" s="1"/>
  <c r="D69" i="1"/>
  <c r="D6" i="1" s="1"/>
  <c r="H45" i="1"/>
  <c r="H4" i="1" s="1"/>
  <c r="AF3" i="1"/>
  <c r="I33" i="1"/>
  <c r="I3" i="1" s="1"/>
  <c r="AH3" i="1"/>
  <c r="F33" i="1"/>
  <c r="F3" i="1" s="1"/>
  <c r="G33" i="1"/>
  <c r="G3" i="1" s="1"/>
  <c r="H57" i="1"/>
  <c r="H5" i="1" s="1"/>
  <c r="AH4" i="1"/>
  <c r="J33" i="1"/>
  <c r="J3" i="1" s="1"/>
  <c r="AL4" i="1"/>
  <c r="AO6" i="1"/>
  <c r="AG6" i="1"/>
  <c r="C93" i="1"/>
  <c r="C8" i="1" s="1"/>
  <c r="I69" i="1"/>
  <c r="I6" i="1" s="1"/>
  <c r="E69" i="1"/>
  <c r="E6" i="1" s="1"/>
  <c r="I81" i="1"/>
  <c r="I7" i="1" s="1"/>
  <c r="E93" i="1"/>
  <c r="E8" i="1" s="1"/>
  <c r="H33" i="1"/>
  <c r="H3" i="1" s="1"/>
  <c r="B33" i="1"/>
  <c r="B3" i="1" s="1"/>
  <c r="K57" i="1"/>
  <c r="K5" i="1" s="1"/>
  <c r="B93" i="1"/>
  <c r="B8" i="1" s="1"/>
  <c r="J69" i="1"/>
  <c r="J6" i="1" s="1"/>
  <c r="B69" i="1"/>
  <c r="B6" i="1" s="1"/>
  <c r="B57" i="1"/>
  <c r="B5" i="1" s="1"/>
  <c r="J45" i="1"/>
  <c r="J4" i="1" s="1"/>
  <c r="B45" i="1"/>
  <c r="B4" i="1" s="1"/>
  <c r="AI9" i="1"/>
  <c r="E104" i="1" s="1"/>
  <c r="E105" i="1" s="1"/>
  <c r="E9" i="1" s="1"/>
  <c r="F69" i="1"/>
  <c r="F6" i="1" s="1"/>
  <c r="AI8" i="1"/>
  <c r="AM5" i="1"/>
  <c r="D93" i="1"/>
  <c r="D8" i="1" s="1"/>
  <c r="F93" i="1"/>
  <c r="F8" i="1" s="1"/>
  <c r="G93" i="1"/>
  <c r="G8" i="1" s="1"/>
  <c r="I93" i="1"/>
  <c r="I8" i="1" s="1"/>
  <c r="J93" i="1"/>
  <c r="J8" i="1" s="1"/>
  <c r="K93" i="1"/>
  <c r="K8" i="1" s="1"/>
  <c r="D81" i="1"/>
  <c r="D7" i="1" s="1"/>
  <c r="C81" i="1"/>
  <c r="C7" i="1" s="1"/>
  <c r="E81" i="1"/>
  <c r="E7" i="1" s="1"/>
  <c r="G81" i="1"/>
  <c r="G7" i="1" s="1"/>
  <c r="H81" i="1"/>
  <c r="H7" i="1" s="1"/>
  <c r="B81" i="1"/>
  <c r="B7" i="1" s="1"/>
  <c r="J81" i="1"/>
  <c r="J7" i="1" s="1"/>
  <c r="K81" i="1"/>
  <c r="K7" i="1" s="1"/>
  <c r="G69" i="1"/>
  <c r="G6" i="1" s="1"/>
  <c r="K69" i="1"/>
  <c r="K6" i="1" s="1"/>
  <c r="C69" i="1"/>
  <c r="C6" i="1" s="1"/>
  <c r="G57" i="1"/>
  <c r="G5" i="1" s="1"/>
  <c r="I57" i="1"/>
  <c r="I5" i="1" s="1"/>
  <c r="J57" i="1"/>
  <c r="J5" i="1" s="1"/>
  <c r="C57" i="1"/>
  <c r="C5" i="1" s="1"/>
  <c r="D57" i="1"/>
  <c r="D5" i="1" s="1"/>
  <c r="E57" i="1"/>
  <c r="E5" i="1" s="1"/>
  <c r="I45" i="1"/>
  <c r="I4" i="1" s="1"/>
  <c r="K45" i="1"/>
  <c r="K4" i="1" s="1"/>
  <c r="D45" i="1"/>
  <c r="D4" i="1" s="1"/>
  <c r="C45" i="1"/>
  <c r="C4" i="1" s="1"/>
  <c r="G45" i="1"/>
  <c r="G4" i="1" s="1"/>
  <c r="AK9" i="1"/>
  <c r="G104" i="1" s="1"/>
  <c r="G105" i="1" s="1"/>
  <c r="G9" i="1" s="1"/>
  <c r="AF7" i="1"/>
  <c r="AN6" i="1"/>
  <c r="AF5" i="1"/>
  <c r="AF4" i="1"/>
  <c r="W10" i="1"/>
  <c r="AH7" i="1"/>
  <c r="AK4" i="1"/>
  <c r="AN8" i="1"/>
  <c r="AJ4" i="1"/>
  <c r="AH8" i="1"/>
  <c r="AN3" i="1"/>
  <c r="AL5" i="1"/>
  <c r="AK3" i="1"/>
  <c r="AJ5" i="1"/>
  <c r="AI3" i="1"/>
  <c r="AM6" i="1"/>
  <c r="AK6" i="1"/>
  <c r="AO7" i="1"/>
  <c r="AG7" i="1"/>
  <c r="AO3" i="1"/>
  <c r="AG3" i="1"/>
  <c r="AI4" i="1"/>
  <c r="AK5" i="1"/>
  <c r="AL6" i="1"/>
  <c r="H68" i="1" s="1"/>
  <c r="H69" i="1" s="1"/>
  <c r="H6" i="1" s="1"/>
  <c r="AN7" i="1"/>
  <c r="AO8" i="1"/>
  <c r="AG8" i="1"/>
  <c r="AH9" i="1"/>
  <c r="D104" i="1" s="1"/>
  <c r="D105" i="1" s="1"/>
  <c r="D9" i="1" s="1"/>
  <c r="AG9" i="1"/>
  <c r="C104" i="1" s="1"/>
  <c r="C105" i="1" s="1"/>
  <c r="C9" i="1" s="1"/>
  <c r="AM3" i="1"/>
  <c r="AO4" i="1"/>
  <c r="AG4" i="1"/>
  <c r="AI5" i="1"/>
  <c r="AJ6" i="1"/>
  <c r="AL7" i="1"/>
  <c r="AM8" i="1"/>
  <c r="AN9" i="1"/>
  <c r="J104" i="1" s="1"/>
  <c r="J105" i="1" s="1"/>
  <c r="J9" i="1" s="1"/>
  <c r="AF6" i="1"/>
  <c r="AO9" i="1"/>
  <c r="K104" i="1" s="1"/>
  <c r="K105" i="1" s="1"/>
  <c r="K9" i="1" s="1"/>
  <c r="AL3" i="1"/>
  <c r="AN4" i="1"/>
  <c r="AH5" i="1"/>
  <c r="AI6" i="1"/>
  <c r="AK7" i="1"/>
  <c r="AL8" i="1"/>
  <c r="H92" i="1" s="1"/>
  <c r="H93" i="1" s="1"/>
  <c r="H8" i="1" s="1"/>
  <c r="AM9" i="1"/>
  <c r="I104" i="1" s="1"/>
  <c r="I105" i="1" s="1"/>
  <c r="I9" i="1" s="1"/>
  <c r="AM4" i="1"/>
  <c r="AO5" i="1"/>
  <c r="AG5" i="1"/>
  <c r="AH6" i="1"/>
  <c r="AJ7" i="1"/>
  <c r="F80" i="1" s="1"/>
  <c r="F81" i="1" s="1"/>
  <c r="F7" i="1" s="1"/>
  <c r="AK8" i="1"/>
  <c r="AL9" i="1"/>
  <c r="H104" i="1" s="1"/>
  <c r="H105" i="1" s="1"/>
  <c r="H9" i="1" s="1"/>
  <c r="AJ3" i="1"/>
  <c r="AN5" i="1"/>
  <c r="AI7" i="1"/>
  <c r="AJ8" i="1"/>
  <c r="AM7" i="1"/>
  <c r="AJ9" i="1"/>
  <c r="F104" i="1" s="1"/>
  <c r="F105" i="1" s="1"/>
  <c r="F9" i="1" s="1"/>
  <c r="AF8" i="1"/>
  <c r="AF9" i="1"/>
  <c r="B104" i="1" s="1"/>
  <c r="B105" i="1" s="1"/>
  <c r="B9" i="1" s="1"/>
  <c r="Y10" i="1"/>
  <c r="X10" i="1"/>
  <c r="Z10" i="1"/>
  <c r="U10" i="1"/>
  <c r="AB10" i="1"/>
  <c r="T10" i="1"/>
  <c r="V10" i="1"/>
  <c r="AA10" i="1"/>
  <c r="S10" i="1"/>
  <c r="B10" i="1" l="1"/>
  <c r="K10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<sst xmlns="http://schemas.openxmlformats.org/spreadsheetml/2006/main" count="280" uniqueCount="59">
  <si>
    <t>Не Матвей</t>
  </si>
  <si>
    <t>Хайп</t>
  </si>
  <si>
    <t>Покер</t>
  </si>
  <si>
    <t>Анюта</t>
  </si>
  <si>
    <t>1-ая игра</t>
  </si>
  <si>
    <t>2-ая игра</t>
  </si>
  <si>
    <t>3-ья игра</t>
  </si>
  <si>
    <t>4-ая игра</t>
  </si>
  <si>
    <t>5-ая игра</t>
  </si>
  <si>
    <t>6-ая игра</t>
  </si>
  <si>
    <t>7-ая игра</t>
  </si>
  <si>
    <t>Победа:</t>
  </si>
  <si>
    <t>Очки за победу:</t>
  </si>
  <si>
    <t>Доп. Очки:</t>
  </si>
  <si>
    <t>ЛХ:</t>
  </si>
  <si>
    <t>Ci:</t>
  </si>
  <si>
    <t>Номер игрока за столом:</t>
  </si>
  <si>
    <t>Мафия:</t>
  </si>
  <si>
    <t>Дон:</t>
  </si>
  <si>
    <t>Шериф:</t>
  </si>
  <si>
    <t>Мирные:</t>
  </si>
  <si>
    <t>ИТОГ:</t>
  </si>
  <si>
    <t>5 место:</t>
  </si>
  <si>
    <t>6 место:</t>
  </si>
  <si>
    <t>7 место:</t>
  </si>
  <si>
    <t>8 место:</t>
  </si>
  <si>
    <t>9 место:</t>
  </si>
  <si>
    <t>10 место:</t>
  </si>
  <si>
    <t xml:space="preserve">4 место: </t>
  </si>
  <si>
    <t>Marte</t>
  </si>
  <si>
    <t>Алладин</t>
  </si>
  <si>
    <t>Синапс</t>
  </si>
  <si>
    <t>Wolfram</t>
  </si>
  <si>
    <t>Кэл</t>
  </si>
  <si>
    <t>Vivi</t>
  </si>
  <si>
    <t>Нужно вписать в левую колонку чья победа "Мафии" или "Мирных"</t>
  </si>
  <si>
    <t>8-ая игра</t>
  </si>
  <si>
    <t xml:space="preserve">2 место: </t>
  </si>
  <si>
    <t xml:space="preserve">3 место: </t>
  </si>
  <si>
    <t>1 место:</t>
  </si>
  <si>
    <t>ПУ:</t>
  </si>
  <si>
    <t>ВАЖНО: 10 - помечаем как 0 - иначе не робит</t>
  </si>
  <si>
    <t>Кол-во убийств:</t>
  </si>
  <si>
    <t>Сумма убийств:</t>
  </si>
  <si>
    <t>За 1 игру</t>
  </si>
  <si>
    <t>За 2 игры</t>
  </si>
  <si>
    <t>За 3 игры</t>
  </si>
  <si>
    <t>За 4 игры</t>
  </si>
  <si>
    <t>За 5 игру</t>
  </si>
  <si>
    <t>За 6 игры</t>
  </si>
  <si>
    <t>За 7 игру</t>
  </si>
  <si>
    <t>За 8 игры</t>
  </si>
  <si>
    <t>-</t>
  </si>
  <si>
    <t>ПИШИ ЧЕРЕЗ ЗАПЯТУЮ ИЛИ ПРОБЕЛ МАФОВ И МИРНЫХ</t>
  </si>
  <si>
    <t>1-ая игра (пример)</t>
  </si>
  <si>
    <t>1 2 3</t>
  </si>
  <si>
    <t>4 5 6 7 8 9 0</t>
  </si>
  <si>
    <t>1 4 5</t>
  </si>
  <si>
    <t>Мирных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</si>
</sst>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right"/>
    </xf>
  </cellXfs>
  <cellStyles count="1">
    <cellStyle name="Обычный" xfId="0" builtinId="0"/>
  </cellStyles>
  <dxfs count="50">
    <dxf>
      <fill>
        <patternFill>
          <bgColor theme="1" tint="4.9989318521683403E-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 tint="4.9989318521683403E-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 tint="4.9989318521683403E-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5F14-AAB8-4F6C-A622-A64D81A5B6AA}">
  <dimension ref="A1:AO146"/>
  <sheetViews>
    <sheetView tabSelected="1" zoomScale="85" zoomScaleNormal="85" workbookViewId="0">
      <selection activeCell="K14" sqref="K14"/>
    </sheetView>
  </sheetViews>
  <sheetFormatPr defaultRowHeight="14.4" x14ac:dyDescent="0.3"/>
  <cols>
    <col min="1" max="1" width="36.88671875" customWidth="1"/>
    <col min="2" max="3" width="12.88671875" customWidth="1"/>
    <col min="4" max="4" width="13.21875" customWidth="1"/>
    <col min="5" max="5" width="11.21875" customWidth="1"/>
    <col min="6" max="6" width="15.21875" customWidth="1"/>
    <col min="7" max="7" width="11.33203125" customWidth="1"/>
    <col min="8" max="8" width="11.88671875" customWidth="1"/>
    <col min="9" max="9" width="11.77734375" customWidth="1"/>
    <col min="10" max="10" width="12.33203125" customWidth="1"/>
    <col min="11" max="11" width="12.109375" customWidth="1"/>
    <col min="13" max="13" width="12.109375" customWidth="1"/>
    <col min="14" max="14" width="10.21875" customWidth="1"/>
    <col min="15" max="15" width="11.6640625" customWidth="1"/>
    <col min="16" max="16" width="16.21875" customWidth="1"/>
    <col min="18" max="18" width="21.21875" customWidth="1"/>
  </cols>
  <sheetData>
    <row r="1" spans="1:41" x14ac:dyDescent="0.3">
      <c r="B1" s="4" t="s">
        <v>30</v>
      </c>
      <c r="C1" s="4" t="s">
        <v>0</v>
      </c>
      <c r="D1" s="4" t="s">
        <v>31</v>
      </c>
      <c r="E1" s="4" t="s">
        <v>1</v>
      </c>
      <c r="F1" s="4" t="s">
        <v>2</v>
      </c>
      <c r="G1" s="4" t="s">
        <v>29</v>
      </c>
      <c r="H1" s="4" t="s">
        <v>32</v>
      </c>
      <c r="I1" s="4" t="s">
        <v>33</v>
      </c>
      <c r="J1" s="4" t="s">
        <v>3</v>
      </c>
      <c r="K1" s="4" t="s">
        <v>34</v>
      </c>
      <c r="R1" s="4" t="s">
        <v>42</v>
      </c>
      <c r="S1" s="4" t="s">
        <v>30</v>
      </c>
      <c r="T1" s="4" t="s">
        <v>0</v>
      </c>
      <c r="U1" s="4" t="s">
        <v>31</v>
      </c>
      <c r="V1" s="4" t="s">
        <v>1</v>
      </c>
      <c r="W1" s="4" t="s">
        <v>2</v>
      </c>
      <c r="X1" s="4" t="s">
        <v>29</v>
      </c>
      <c r="Y1" s="4" t="s">
        <v>32</v>
      </c>
      <c r="Z1" s="4" t="s">
        <v>33</v>
      </c>
      <c r="AA1" s="4" t="s">
        <v>3</v>
      </c>
      <c r="AB1" s="4" t="s">
        <v>34</v>
      </c>
      <c r="AF1" s="4" t="s">
        <v>30</v>
      </c>
      <c r="AG1" s="4" t="s">
        <v>0</v>
      </c>
      <c r="AH1" s="4" t="s">
        <v>31</v>
      </c>
      <c r="AI1" s="4" t="s">
        <v>1</v>
      </c>
      <c r="AJ1" s="4" t="s">
        <v>2</v>
      </c>
      <c r="AK1" s="4" t="s">
        <v>29</v>
      </c>
      <c r="AL1" s="4" t="s">
        <v>32</v>
      </c>
      <c r="AM1" s="4" t="s">
        <v>33</v>
      </c>
      <c r="AN1" s="4" t="s">
        <v>3</v>
      </c>
      <c r="AO1" s="4" t="s">
        <v>34</v>
      </c>
    </row>
    <row r="2" spans="1:41" x14ac:dyDescent="0.3">
      <c r="A2" s="8" t="s">
        <v>4</v>
      </c>
      <c r="B2">
        <f>B21</f>
        <v>0</v>
      </c>
      <c r="C2">
        <f t="shared" ref="C2:K2" si="0">C21</f>
        <v>0</v>
      </c>
      <c r="D2">
        <f t="shared" si="0"/>
        <v>2.5</v>
      </c>
      <c r="E2">
        <f t="shared" si="0"/>
        <v>0</v>
      </c>
      <c r="F2">
        <f>F21</f>
        <v>3</v>
      </c>
      <c r="G2">
        <f t="shared" si="0"/>
        <v>2.5</v>
      </c>
      <c r="H2">
        <f t="shared" si="0"/>
        <v>2.5</v>
      </c>
      <c r="I2">
        <f t="shared" si="0"/>
        <v>2.5</v>
      </c>
      <c r="J2">
        <f t="shared" si="0"/>
        <v>2.5</v>
      </c>
      <c r="K2">
        <f t="shared" si="0"/>
        <v>2.5</v>
      </c>
      <c r="M2" s="16" t="s">
        <v>39</v>
      </c>
      <c r="R2" s="8" t="s">
        <v>4</v>
      </c>
      <c r="S2" s="4" t="str">
        <f t="shared" ref="S2:AB2" si="1">IF(B16=$N$18,1,"")</f>
        <v/>
      </c>
      <c r="T2" s="4" t="str">
        <f t="shared" si="1"/>
        <v/>
      </c>
      <c r="U2" s="4" t="str">
        <f t="shared" si="1"/>
        <v/>
      </c>
      <c r="V2" s="4" t="str">
        <f t="shared" si="1"/>
        <v/>
      </c>
      <c r="W2" s="4">
        <f t="shared" si="1"/>
        <v>1</v>
      </c>
      <c r="X2" s="4" t="str">
        <f t="shared" si="1"/>
        <v/>
      </c>
      <c r="Y2" s="4" t="str">
        <f t="shared" si="1"/>
        <v/>
      </c>
      <c r="Z2" s="4" t="str">
        <f t="shared" si="1"/>
        <v/>
      </c>
      <c r="AA2" s="4" t="str">
        <f t="shared" si="1"/>
        <v/>
      </c>
      <c r="AB2" s="4" t="str">
        <f t="shared" si="1"/>
        <v/>
      </c>
      <c r="AE2" t="s">
        <v>44</v>
      </c>
      <c r="AF2">
        <f>SUM(S2:S2)</f>
        <v>0</v>
      </c>
      <c r="AG2">
        <f t="shared" ref="AG2:AO2" si="2">SUM(T2:T2)</f>
        <v>0</v>
      </c>
      <c r="AH2">
        <f t="shared" si="2"/>
        <v>0</v>
      </c>
      <c r="AI2">
        <f t="shared" si="2"/>
        <v>0</v>
      </c>
      <c r="AJ2">
        <f t="shared" si="2"/>
        <v>1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</row>
    <row r="3" spans="1:41" x14ac:dyDescent="0.3">
      <c r="A3" s="8" t="s">
        <v>5</v>
      </c>
      <c r="B3">
        <f>B33</f>
        <v>0</v>
      </c>
      <c r="C3">
        <f t="shared" ref="C3:K3" si="3">C33</f>
        <v>0</v>
      </c>
      <c r="D3">
        <f t="shared" si="3"/>
        <v>0</v>
      </c>
      <c r="E3">
        <f t="shared" si="3"/>
        <v>0</v>
      </c>
      <c r="F3">
        <f t="shared" si="3"/>
        <v>0</v>
      </c>
      <c r="G3">
        <f t="shared" si="3"/>
        <v>0</v>
      </c>
      <c r="H3">
        <f t="shared" si="3"/>
        <v>0</v>
      </c>
      <c r="I3">
        <f t="shared" si="3"/>
        <v>0</v>
      </c>
      <c r="J3">
        <f t="shared" si="3"/>
        <v>0</v>
      </c>
      <c r="K3">
        <f t="shared" si="3"/>
        <v>0</v>
      </c>
      <c r="M3" s="16" t="s">
        <v>37</v>
      </c>
      <c r="R3" s="8" t="s">
        <v>5</v>
      </c>
      <c r="S3" t="str">
        <f>IF(B28=$N$30,1,"")</f>
        <v/>
      </c>
      <c r="T3" t="str">
        <f t="shared" ref="T3:AB3" si="4">IF(C28=$N$30,1,"")</f>
        <v/>
      </c>
      <c r="U3" t="str">
        <f t="shared" si="4"/>
        <v/>
      </c>
      <c r="V3" t="str">
        <f t="shared" si="4"/>
        <v/>
      </c>
      <c r="W3" t="str">
        <f t="shared" si="4"/>
        <v/>
      </c>
      <c r="X3" t="str">
        <f t="shared" si="4"/>
        <v/>
      </c>
      <c r="Y3" t="str">
        <f t="shared" si="4"/>
        <v/>
      </c>
      <c r="Z3" t="str">
        <f t="shared" si="4"/>
        <v/>
      </c>
      <c r="AA3" t="str">
        <f t="shared" si="4"/>
        <v/>
      </c>
      <c r="AB3" t="str">
        <f t="shared" si="4"/>
        <v/>
      </c>
      <c r="AE3" t="s">
        <v>45</v>
      </c>
      <c r="AF3">
        <f>SUM(S2:S3)</f>
        <v>0</v>
      </c>
      <c r="AG3">
        <f t="shared" ref="AG3:AO3" si="5">SUM(T2:T3)</f>
        <v>0</v>
      </c>
      <c r="AH3">
        <f t="shared" si="5"/>
        <v>0</v>
      </c>
      <c r="AI3">
        <f t="shared" si="5"/>
        <v>0</v>
      </c>
      <c r="AJ3">
        <f t="shared" si="5"/>
        <v>1</v>
      </c>
      <c r="AK3">
        <f t="shared" si="5"/>
        <v>0</v>
      </c>
      <c r="AL3">
        <f t="shared" si="5"/>
        <v>0</v>
      </c>
      <c r="AM3">
        <f t="shared" si="5"/>
        <v>0</v>
      </c>
      <c r="AN3">
        <f t="shared" si="5"/>
        <v>0</v>
      </c>
      <c r="AO3">
        <f t="shared" si="5"/>
        <v>0</v>
      </c>
    </row>
    <row r="4" spans="1:41" x14ac:dyDescent="0.3">
      <c r="A4" s="8" t="s">
        <v>6</v>
      </c>
      <c r="B4">
        <f>B45</f>
        <v>0</v>
      </c>
      <c r="C4">
        <f t="shared" ref="C4:K4" si="6">C45</f>
        <v>0</v>
      </c>
      <c r="D4">
        <f t="shared" si="6"/>
        <v>0</v>
      </c>
      <c r="E4">
        <f t="shared" si="6"/>
        <v>0</v>
      </c>
      <c r="F4">
        <f t="shared" si="6"/>
        <v>0</v>
      </c>
      <c r="G4">
        <f t="shared" si="6"/>
        <v>0</v>
      </c>
      <c r="H4">
        <f t="shared" si="6"/>
        <v>0</v>
      </c>
      <c r="I4">
        <f t="shared" si="6"/>
        <v>0</v>
      </c>
      <c r="J4">
        <f t="shared" si="6"/>
        <v>0</v>
      </c>
      <c r="K4">
        <f t="shared" si="6"/>
        <v>0</v>
      </c>
      <c r="M4" s="16" t="s">
        <v>38</v>
      </c>
      <c r="R4" s="8" t="s">
        <v>6</v>
      </c>
      <c r="S4" t="str">
        <f>IF(B40=$N$42,1,"")</f>
        <v/>
      </c>
      <c r="T4" t="str">
        <f t="shared" ref="T4:AB4" si="7">IF(C40=$N$42,1,"")</f>
        <v/>
      </c>
      <c r="U4" t="str">
        <f t="shared" si="7"/>
        <v/>
      </c>
      <c r="V4" t="str">
        <f t="shared" si="7"/>
        <v/>
      </c>
      <c r="W4" t="str">
        <f t="shared" si="7"/>
        <v/>
      </c>
      <c r="X4" t="str">
        <f t="shared" si="7"/>
        <v/>
      </c>
      <c r="Y4" t="str">
        <f t="shared" si="7"/>
        <v/>
      </c>
      <c r="Z4" t="str">
        <f t="shared" si="7"/>
        <v/>
      </c>
      <c r="AA4" t="str">
        <f t="shared" si="7"/>
        <v/>
      </c>
      <c r="AB4" t="str">
        <f t="shared" si="7"/>
        <v/>
      </c>
      <c r="AE4" t="s">
        <v>46</v>
      </c>
      <c r="AF4">
        <f>SUM(S2:S4)</f>
        <v>0</v>
      </c>
      <c r="AG4">
        <f t="shared" ref="AG4:AO4" si="8">SUM(T2:T4)</f>
        <v>0</v>
      </c>
      <c r="AH4">
        <f t="shared" si="8"/>
        <v>0</v>
      </c>
      <c r="AI4">
        <f t="shared" si="8"/>
        <v>0</v>
      </c>
      <c r="AJ4">
        <f t="shared" si="8"/>
        <v>1</v>
      </c>
      <c r="AK4">
        <f t="shared" si="8"/>
        <v>0</v>
      </c>
      <c r="AL4">
        <f t="shared" si="8"/>
        <v>0</v>
      </c>
      <c r="AM4">
        <f t="shared" si="8"/>
        <v>0</v>
      </c>
      <c r="AN4">
        <f t="shared" si="8"/>
        <v>0</v>
      </c>
      <c r="AO4">
        <f t="shared" si="8"/>
        <v>0</v>
      </c>
    </row>
    <row r="5" spans="1:41" x14ac:dyDescent="0.3">
      <c r="A5" s="8" t="s">
        <v>7</v>
      </c>
      <c r="B5">
        <f>B57</f>
        <v>0</v>
      </c>
      <c r="C5">
        <f t="shared" ref="C5:K5" si="9">C57</f>
        <v>0</v>
      </c>
      <c r="D5">
        <f t="shared" si="9"/>
        <v>0</v>
      </c>
      <c r="E5">
        <f t="shared" si="9"/>
        <v>0</v>
      </c>
      <c r="F5">
        <f t="shared" si="9"/>
        <v>0</v>
      </c>
      <c r="G5">
        <f t="shared" si="9"/>
        <v>0</v>
      </c>
      <c r="H5">
        <f t="shared" si="9"/>
        <v>0</v>
      </c>
      <c r="I5">
        <f t="shared" si="9"/>
        <v>0</v>
      </c>
      <c r="J5">
        <f t="shared" si="9"/>
        <v>0</v>
      </c>
      <c r="K5">
        <f t="shared" si="9"/>
        <v>0</v>
      </c>
      <c r="M5" s="16" t="s">
        <v>28</v>
      </c>
      <c r="R5" s="8" t="s">
        <v>7</v>
      </c>
      <c r="S5" t="str">
        <f>IF(B52=$N$54,1,"")</f>
        <v/>
      </c>
      <c r="T5" t="str">
        <f t="shared" ref="T5:AB5" si="10">IF(C52=$N$54,1,"")</f>
        <v/>
      </c>
      <c r="U5" t="str">
        <f t="shared" si="10"/>
        <v/>
      </c>
      <c r="V5" t="str">
        <f t="shared" si="10"/>
        <v/>
      </c>
      <c r="W5" t="str">
        <f t="shared" si="10"/>
        <v/>
      </c>
      <c r="X5" t="str">
        <f t="shared" si="10"/>
        <v/>
      </c>
      <c r="Y5" t="str">
        <f t="shared" si="10"/>
        <v/>
      </c>
      <c r="Z5" t="str">
        <f t="shared" si="10"/>
        <v/>
      </c>
      <c r="AA5" t="str">
        <f t="shared" si="10"/>
        <v/>
      </c>
      <c r="AB5" t="str">
        <f t="shared" si="10"/>
        <v/>
      </c>
      <c r="AE5" t="s">
        <v>47</v>
      </c>
      <c r="AF5">
        <f>SUM(S2:S5)</f>
        <v>0</v>
      </c>
      <c r="AG5">
        <f t="shared" ref="AG5:AO5" si="11">SUM(T2:T5)</f>
        <v>0</v>
      </c>
      <c r="AH5">
        <f t="shared" si="11"/>
        <v>0</v>
      </c>
      <c r="AI5">
        <f t="shared" si="11"/>
        <v>0</v>
      </c>
      <c r="AJ5">
        <f t="shared" si="11"/>
        <v>1</v>
      </c>
      <c r="AK5">
        <f t="shared" si="11"/>
        <v>0</v>
      </c>
      <c r="AL5">
        <f t="shared" si="11"/>
        <v>0</v>
      </c>
      <c r="AM5">
        <f t="shared" si="11"/>
        <v>0</v>
      </c>
      <c r="AN5">
        <f t="shared" si="11"/>
        <v>0</v>
      </c>
      <c r="AO5">
        <f t="shared" si="11"/>
        <v>0</v>
      </c>
    </row>
    <row r="6" spans="1:41" x14ac:dyDescent="0.3">
      <c r="A6" s="8" t="s">
        <v>8</v>
      </c>
      <c r="B6">
        <f>B69</f>
        <v>0</v>
      </c>
      <c r="C6">
        <f t="shared" ref="C6:K6" si="12">C69</f>
        <v>0</v>
      </c>
      <c r="D6">
        <f t="shared" si="12"/>
        <v>0</v>
      </c>
      <c r="E6">
        <f t="shared" si="12"/>
        <v>0</v>
      </c>
      <c r="F6">
        <f t="shared" si="12"/>
        <v>0</v>
      </c>
      <c r="G6">
        <f t="shared" si="12"/>
        <v>0</v>
      </c>
      <c r="H6">
        <f t="shared" si="12"/>
        <v>0</v>
      </c>
      <c r="I6">
        <f t="shared" si="12"/>
        <v>0</v>
      </c>
      <c r="J6">
        <f t="shared" si="12"/>
        <v>0</v>
      </c>
      <c r="K6">
        <f t="shared" si="12"/>
        <v>0</v>
      </c>
      <c r="M6" s="16" t="s">
        <v>22</v>
      </c>
      <c r="R6" s="8" t="s">
        <v>8</v>
      </c>
      <c r="S6" t="str">
        <f>IF(B64=$N$66,1,"")</f>
        <v/>
      </c>
      <c r="T6" t="str">
        <f>IF(C64=$N$66,1,"")</f>
        <v/>
      </c>
      <c r="U6" t="str">
        <f t="shared" ref="U6:AB6" si="13">IF(D64=$N$66,1,"")</f>
        <v/>
      </c>
      <c r="V6" t="str">
        <f t="shared" si="13"/>
        <v/>
      </c>
      <c r="W6" t="str">
        <f t="shared" si="13"/>
        <v/>
      </c>
      <c r="X6" t="str">
        <f t="shared" si="13"/>
        <v/>
      </c>
      <c r="Y6" t="str">
        <f t="shared" si="13"/>
        <v/>
      </c>
      <c r="Z6" t="str">
        <f t="shared" si="13"/>
        <v/>
      </c>
      <c r="AA6" t="str">
        <f t="shared" si="13"/>
        <v/>
      </c>
      <c r="AB6" t="str">
        <f t="shared" si="13"/>
        <v/>
      </c>
      <c r="AE6" t="s">
        <v>48</v>
      </c>
      <c r="AF6">
        <f>SUM(S2:S6)</f>
        <v>0</v>
      </c>
      <c r="AG6">
        <f t="shared" ref="AG6:AO6" si="14">SUM(T2:T6)</f>
        <v>0</v>
      </c>
      <c r="AH6">
        <f t="shared" si="14"/>
        <v>0</v>
      </c>
      <c r="AI6">
        <f t="shared" si="14"/>
        <v>0</v>
      </c>
      <c r="AJ6">
        <f t="shared" si="14"/>
        <v>1</v>
      </c>
      <c r="AK6">
        <f t="shared" si="14"/>
        <v>0</v>
      </c>
      <c r="AL6">
        <f t="shared" si="14"/>
        <v>0</v>
      </c>
      <c r="AM6">
        <f t="shared" si="14"/>
        <v>0</v>
      </c>
      <c r="AN6">
        <f t="shared" si="14"/>
        <v>0</v>
      </c>
      <c r="AO6">
        <f t="shared" si="14"/>
        <v>0</v>
      </c>
    </row>
    <row r="7" spans="1:41" x14ac:dyDescent="0.3">
      <c r="A7" s="8" t="s">
        <v>9</v>
      </c>
      <c r="B7">
        <f>B81</f>
        <v>0</v>
      </c>
      <c r="C7">
        <f t="shared" ref="C7:K7" si="15">C81</f>
        <v>0</v>
      </c>
      <c r="D7">
        <f t="shared" si="15"/>
        <v>0</v>
      </c>
      <c r="E7">
        <f t="shared" si="15"/>
        <v>0</v>
      </c>
      <c r="F7">
        <f t="shared" si="15"/>
        <v>0</v>
      </c>
      <c r="G7">
        <f t="shared" si="15"/>
        <v>0</v>
      </c>
      <c r="H7">
        <f t="shared" si="15"/>
        <v>0</v>
      </c>
      <c r="I7">
        <f t="shared" si="15"/>
        <v>0</v>
      </c>
      <c r="J7">
        <f t="shared" si="15"/>
        <v>0</v>
      </c>
      <c r="K7">
        <f t="shared" si="15"/>
        <v>0</v>
      </c>
      <c r="M7" s="16" t="s">
        <v>23</v>
      </c>
      <c r="R7" s="8" t="s">
        <v>9</v>
      </c>
      <c r="S7" t="str">
        <f>IF(B76=$N$78,1,"")</f>
        <v/>
      </c>
      <c r="T7" t="str">
        <f t="shared" ref="T7:AB7" si="16">IF(C76=$N$78,1,"")</f>
        <v/>
      </c>
      <c r="U7" t="str">
        <f t="shared" si="16"/>
        <v/>
      </c>
      <c r="V7" t="str">
        <f t="shared" si="16"/>
        <v/>
      </c>
      <c r="W7" t="str">
        <f t="shared" si="16"/>
        <v/>
      </c>
      <c r="X7" t="str">
        <f t="shared" si="16"/>
        <v/>
      </c>
      <c r="Y7" t="str">
        <f t="shared" si="16"/>
        <v/>
      </c>
      <c r="Z7" t="str">
        <f t="shared" si="16"/>
        <v/>
      </c>
      <c r="AA7" t="str">
        <f t="shared" si="16"/>
        <v/>
      </c>
      <c r="AB7" t="str">
        <f t="shared" si="16"/>
        <v/>
      </c>
      <c r="AE7" t="s">
        <v>49</v>
      </c>
      <c r="AF7">
        <f>SUM(S2:S7)</f>
        <v>0</v>
      </c>
      <c r="AG7">
        <f t="shared" ref="AG7:AO7" si="17">SUM(T2:T7)</f>
        <v>0</v>
      </c>
      <c r="AH7">
        <f t="shared" si="17"/>
        <v>0</v>
      </c>
      <c r="AI7">
        <f t="shared" si="17"/>
        <v>0</v>
      </c>
      <c r="AJ7">
        <f t="shared" si="17"/>
        <v>1</v>
      </c>
      <c r="AK7">
        <f t="shared" si="17"/>
        <v>0</v>
      </c>
      <c r="AL7">
        <f t="shared" si="17"/>
        <v>0</v>
      </c>
      <c r="AM7">
        <f t="shared" si="17"/>
        <v>0</v>
      </c>
      <c r="AN7">
        <f t="shared" si="17"/>
        <v>0</v>
      </c>
      <c r="AO7">
        <f t="shared" si="17"/>
        <v>0</v>
      </c>
    </row>
    <row r="8" spans="1:41" x14ac:dyDescent="0.3">
      <c r="A8" s="8" t="s">
        <v>10</v>
      </c>
      <c r="B8">
        <f>B93</f>
        <v>0</v>
      </c>
      <c r="C8">
        <f t="shared" ref="C8:K8" si="18">C93</f>
        <v>0</v>
      </c>
      <c r="D8">
        <f t="shared" si="18"/>
        <v>0</v>
      </c>
      <c r="E8">
        <f t="shared" si="18"/>
        <v>0</v>
      </c>
      <c r="F8">
        <f t="shared" si="18"/>
        <v>0</v>
      </c>
      <c r="G8">
        <f t="shared" si="18"/>
        <v>0</v>
      </c>
      <c r="H8">
        <f t="shared" si="18"/>
        <v>0</v>
      </c>
      <c r="I8">
        <f t="shared" si="18"/>
        <v>0</v>
      </c>
      <c r="J8">
        <f t="shared" si="18"/>
        <v>0</v>
      </c>
      <c r="K8">
        <f t="shared" si="18"/>
        <v>0</v>
      </c>
      <c r="M8" s="16" t="s">
        <v>24</v>
      </c>
      <c r="R8" s="8" t="s">
        <v>10</v>
      </c>
      <c r="S8" t="str">
        <f>IF(B88=$N$90,1,"")</f>
        <v/>
      </c>
      <c r="T8" t="str">
        <f t="shared" ref="T8:AB8" si="19">IF(C88=$N$90,1,"")</f>
        <v/>
      </c>
      <c r="U8" t="str">
        <f t="shared" si="19"/>
        <v/>
      </c>
      <c r="V8" t="str">
        <f t="shared" si="19"/>
        <v/>
      </c>
      <c r="W8" t="str">
        <f t="shared" si="19"/>
        <v/>
      </c>
      <c r="X8" t="str">
        <f t="shared" si="19"/>
        <v/>
      </c>
      <c r="Y8" t="str">
        <f t="shared" si="19"/>
        <v/>
      </c>
      <c r="Z8" t="str">
        <f t="shared" si="19"/>
        <v/>
      </c>
      <c r="AA8" t="str">
        <f t="shared" si="19"/>
        <v/>
      </c>
      <c r="AB8" t="str">
        <f t="shared" si="19"/>
        <v/>
      </c>
      <c r="AE8" t="s">
        <v>50</v>
      </c>
      <c r="AF8">
        <f>SUM(S2:S8)</f>
        <v>0</v>
      </c>
      <c r="AG8">
        <f t="shared" ref="AG8:AO8" si="20">SUM(T2:T8)</f>
        <v>0</v>
      </c>
      <c r="AH8">
        <f t="shared" si="20"/>
        <v>0</v>
      </c>
      <c r="AI8">
        <f t="shared" si="20"/>
        <v>0</v>
      </c>
      <c r="AJ8">
        <f t="shared" si="20"/>
        <v>1</v>
      </c>
      <c r="AK8">
        <f t="shared" si="20"/>
        <v>0</v>
      </c>
      <c r="AL8">
        <f t="shared" si="20"/>
        <v>0</v>
      </c>
      <c r="AM8">
        <f t="shared" si="20"/>
        <v>0</v>
      </c>
      <c r="AN8">
        <f t="shared" si="20"/>
        <v>0</v>
      </c>
      <c r="AO8">
        <f t="shared" si="20"/>
        <v>0</v>
      </c>
    </row>
    <row r="9" spans="1:41" x14ac:dyDescent="0.3">
      <c r="A9" s="8" t="s">
        <v>36</v>
      </c>
      <c r="B9">
        <f>B105</f>
        <v>0</v>
      </c>
      <c r="C9">
        <f t="shared" ref="C9:K9" si="21">C105</f>
        <v>0</v>
      </c>
      <c r="D9">
        <f t="shared" si="21"/>
        <v>0</v>
      </c>
      <c r="E9">
        <f t="shared" si="21"/>
        <v>0</v>
      </c>
      <c r="F9">
        <f t="shared" si="21"/>
        <v>0</v>
      </c>
      <c r="G9">
        <f t="shared" si="21"/>
        <v>0</v>
      </c>
      <c r="H9">
        <f t="shared" si="21"/>
        <v>0</v>
      </c>
      <c r="I9">
        <f t="shared" si="21"/>
        <v>0</v>
      </c>
      <c r="J9">
        <f t="shared" si="21"/>
        <v>0</v>
      </c>
      <c r="K9">
        <f t="shared" si="21"/>
        <v>0</v>
      </c>
      <c r="M9" s="16" t="s">
        <v>25</v>
      </c>
      <c r="R9" s="8" t="s">
        <v>36</v>
      </c>
      <c r="S9" t="str">
        <f>IF(B100=$N$102,1,"")</f>
        <v/>
      </c>
      <c r="T9" t="str">
        <f t="shared" ref="T9:AB9" si="22">IF(C100=$N$102,1,"")</f>
        <v/>
      </c>
      <c r="U9" t="str">
        <f t="shared" si="22"/>
        <v/>
      </c>
      <c r="V9" t="str">
        <f t="shared" si="22"/>
        <v/>
      </c>
      <c r="W9" t="str">
        <f t="shared" si="22"/>
        <v/>
      </c>
      <c r="X9" t="str">
        <f t="shared" si="22"/>
        <v/>
      </c>
      <c r="Y9" t="str">
        <f t="shared" si="22"/>
        <v/>
      </c>
      <c r="Z9" t="str">
        <f t="shared" si="22"/>
        <v/>
      </c>
      <c r="AA9" t="str">
        <f t="shared" si="22"/>
        <v/>
      </c>
      <c r="AB9" t="str">
        <f t="shared" si="22"/>
        <v/>
      </c>
      <c r="AE9" t="s">
        <v>51</v>
      </c>
      <c r="AF9">
        <f>SUM(S2:S9)</f>
        <v>0</v>
      </c>
      <c r="AG9">
        <f t="shared" ref="AG9:AO9" si="23">SUM(T2:T9)</f>
        <v>0</v>
      </c>
      <c r="AH9">
        <f t="shared" si="23"/>
        <v>0</v>
      </c>
      <c r="AI9">
        <f t="shared" si="23"/>
        <v>0</v>
      </c>
      <c r="AJ9">
        <f t="shared" si="23"/>
        <v>1</v>
      </c>
      <c r="AK9">
        <f t="shared" si="23"/>
        <v>0</v>
      </c>
      <c r="AL9">
        <f t="shared" si="23"/>
        <v>0</v>
      </c>
      <c r="AM9">
        <f t="shared" si="23"/>
        <v>0</v>
      </c>
      <c r="AN9">
        <f t="shared" si="23"/>
        <v>0</v>
      </c>
      <c r="AO9">
        <f t="shared" si="23"/>
        <v>0</v>
      </c>
    </row>
    <row r="10" spans="1:41" x14ac:dyDescent="0.3">
      <c r="A10" s="8" t="s">
        <v>21</v>
      </c>
      <c r="B10">
        <f>SUM(B2:B9)</f>
        <v>0</v>
      </c>
      <c r="C10">
        <f t="shared" ref="C10:K10" si="24">SUM(C2:C9)</f>
        <v>0</v>
      </c>
      <c r="D10">
        <f t="shared" si="24"/>
        <v>2.5</v>
      </c>
      <c r="E10">
        <f t="shared" si="24"/>
        <v>0</v>
      </c>
      <c r="F10">
        <f t="shared" si="24"/>
        <v>3</v>
      </c>
      <c r="G10">
        <f t="shared" si="24"/>
        <v>2.5</v>
      </c>
      <c r="H10">
        <f t="shared" si="24"/>
        <v>2.5</v>
      </c>
      <c r="I10">
        <f t="shared" si="24"/>
        <v>2.5</v>
      </c>
      <c r="J10">
        <f t="shared" si="24"/>
        <v>2.5</v>
      </c>
      <c r="K10">
        <f t="shared" si="24"/>
        <v>2.5</v>
      </c>
      <c r="M10" s="16" t="s">
        <v>26</v>
      </c>
      <c r="R10" s="8" t="s">
        <v>43</v>
      </c>
      <c r="S10">
        <f>SUM(S2:S9)</f>
        <v>0</v>
      </c>
      <c r="T10">
        <f t="shared" ref="T10:AB10" si="25">SUM(T2:T9)</f>
        <v>0</v>
      </c>
      <c r="U10">
        <f>SUM(U2:U9)</f>
        <v>0</v>
      </c>
      <c r="V10">
        <f t="shared" si="25"/>
        <v>0</v>
      </c>
      <c r="W10">
        <f t="shared" si="25"/>
        <v>1</v>
      </c>
      <c r="X10">
        <f t="shared" si="25"/>
        <v>0</v>
      </c>
      <c r="Y10">
        <f t="shared" si="25"/>
        <v>0</v>
      </c>
      <c r="Z10">
        <f t="shared" si="25"/>
        <v>0</v>
      </c>
      <c r="AA10">
        <f>SUM(AA2:AA9)</f>
        <v>0</v>
      </c>
      <c r="AB10">
        <f t="shared" si="25"/>
        <v>0</v>
      </c>
    </row>
    <row r="11" spans="1:41" x14ac:dyDescent="0.3">
      <c r="M11" s="16" t="s">
        <v>27</v>
      </c>
    </row>
    <row r="12" spans="1:41" x14ac:dyDescent="0.3">
      <c r="B12" s="12" t="s">
        <v>41</v>
      </c>
      <c r="F12" s="12" t="s">
        <v>53</v>
      </c>
    </row>
    <row r="14" spans="1:41" ht="25.8" x14ac:dyDescent="0.5">
      <c r="A14" s="1" t="s">
        <v>54</v>
      </c>
      <c r="B14" t="s">
        <v>11</v>
      </c>
      <c r="C14" s="10" t="s">
        <v>58</v>
      </c>
      <c r="D14" t="s">
        <v>35</v>
      </c>
    </row>
    <row r="15" spans="1:41" x14ac:dyDescent="0.3">
      <c r="B15" s="9" t="s">
        <v>30</v>
      </c>
      <c r="C15" s="9" t="s">
        <v>0</v>
      </c>
      <c r="D15" s="9" t="s">
        <v>31</v>
      </c>
      <c r="E15" s="9" t="s">
        <v>1</v>
      </c>
      <c r="F15" s="9" t="s">
        <v>2</v>
      </c>
      <c r="G15" s="9" t="s">
        <v>29</v>
      </c>
      <c r="H15" s="9" t="s">
        <v>32</v>
      </c>
      <c r="I15" s="9" t="s">
        <v>33</v>
      </c>
      <c r="J15" s="9" t="s">
        <v>3</v>
      </c>
      <c r="K15" s="9" t="s">
        <v>34</v>
      </c>
      <c r="M15" s="5" t="s">
        <v>17</v>
      </c>
      <c r="N15" s="5" t="s">
        <v>18</v>
      </c>
      <c r="O15" s="5" t="s">
        <v>19</v>
      </c>
      <c r="P15" s="5" t="s">
        <v>20</v>
      </c>
    </row>
    <row r="16" spans="1:41" x14ac:dyDescent="0.3">
      <c r="A16" t="s">
        <v>16</v>
      </c>
      <c r="B16" s="4">
        <v>1</v>
      </c>
      <c r="C16" s="4">
        <v>3</v>
      </c>
      <c r="D16" s="4">
        <v>4</v>
      </c>
      <c r="E16" s="4">
        <v>2</v>
      </c>
      <c r="F16" s="4">
        <v>0</v>
      </c>
      <c r="G16" s="4">
        <v>9</v>
      </c>
      <c r="H16" s="4">
        <v>8</v>
      </c>
      <c r="I16" s="4">
        <v>5</v>
      </c>
      <c r="J16" s="4">
        <v>7</v>
      </c>
      <c r="K16" s="4">
        <v>6</v>
      </c>
      <c r="M16" s="5" t="s">
        <v>55</v>
      </c>
      <c r="N16" s="5">
        <v>2</v>
      </c>
      <c r="O16" s="5">
        <v>7</v>
      </c>
      <c r="P16" s="6" t="s">
        <v>56</v>
      </c>
      <c r="R16">
        <f>IF(AND($C14="Мафии", SEARCH(B16,$M16)&lt;&gt;0),2.5,0)</f>
        <v>0</v>
      </c>
      <c r="S16">
        <f t="shared" ref="S16:AA16" si="26">IF(AND($C14="Мафии", SEARCH(C16,$M16)&lt;&gt;0),2.5,0)</f>
        <v>0</v>
      </c>
      <c r="T16" t="e">
        <f t="shared" si="26"/>
        <v>#VALUE!</v>
      </c>
      <c r="U16">
        <f t="shared" si="26"/>
        <v>0</v>
      </c>
      <c r="V16" t="e">
        <f t="shared" si="26"/>
        <v>#VALUE!</v>
      </c>
      <c r="W16" t="e">
        <f t="shared" si="26"/>
        <v>#VALUE!</v>
      </c>
      <c r="X16" t="e">
        <f t="shared" si="26"/>
        <v>#VALUE!</v>
      </c>
      <c r="Y16" t="e">
        <f t="shared" si="26"/>
        <v>#VALUE!</v>
      </c>
      <c r="Z16" t="e">
        <f t="shared" si="26"/>
        <v>#VALUE!</v>
      </c>
      <c r="AA16" t="e">
        <f t="shared" si="26"/>
        <v>#VALUE!</v>
      </c>
    </row>
    <row r="17" spans="1:27" x14ac:dyDescent="0.3">
      <c r="A17" t="s">
        <v>12</v>
      </c>
      <c r="B17" s="4" t="str">
        <f>IF(AND(ISNUMBER(SEARCH(B16,$M16)),$C$14="Мафии"),2.5,IF(AND(ISNUMBER(SEARCH(B16,$P16)),$C$14="Мирных"),2.5,""))</f>
        <v/>
      </c>
      <c r="C17" s="4" t="str">
        <f t="shared" ref="C17:K17" si="27">IF(AND(ISNUMBER(SEARCH(C16,$M16)),$C$14="Мафии"),2.5,IF(AND(ISNUMBER(SEARCH(C16,$P16)),$C$14="Мирных"),2.5,""))</f>
        <v/>
      </c>
      <c r="D17" s="4">
        <f t="shared" si="27"/>
        <v>2.5</v>
      </c>
      <c r="E17" s="4" t="str">
        <f t="shared" si="27"/>
        <v/>
      </c>
      <c r="F17" s="4">
        <f t="shared" si="27"/>
        <v>2.5</v>
      </c>
      <c r="G17" s="4">
        <f t="shared" si="27"/>
        <v>2.5</v>
      </c>
      <c r="H17" s="4">
        <f t="shared" si="27"/>
        <v>2.5</v>
      </c>
      <c r="I17" s="4">
        <f t="shared" si="27"/>
        <v>2.5</v>
      </c>
      <c r="J17" s="4">
        <f t="shared" si="27"/>
        <v>2.5</v>
      </c>
      <c r="K17" s="4">
        <f t="shared" si="27"/>
        <v>2.5</v>
      </c>
      <c r="R17" t="e">
        <f>IF(AND($C14="Мирных", SEARCH(B16,$P16)&lt;&gt;0),2.5,0)</f>
        <v>#VALUE!</v>
      </c>
      <c r="S17" t="e">
        <f t="shared" ref="S17:AA17" si="28">IF(AND($C14="Мирных", SEARCH(C16,$P16)&lt;&gt;0),2.5,0)</f>
        <v>#VALUE!</v>
      </c>
      <c r="T17">
        <f t="shared" si="28"/>
        <v>2.5</v>
      </c>
      <c r="U17" t="e">
        <f t="shared" si="28"/>
        <v>#VALUE!</v>
      </c>
      <c r="V17">
        <f t="shared" si="28"/>
        <v>2.5</v>
      </c>
      <c r="W17">
        <f t="shared" si="28"/>
        <v>2.5</v>
      </c>
      <c r="X17">
        <f t="shared" si="28"/>
        <v>2.5</v>
      </c>
      <c r="Y17">
        <f t="shared" si="28"/>
        <v>2.5</v>
      </c>
      <c r="Z17">
        <f t="shared" si="28"/>
        <v>2.5</v>
      </c>
      <c r="AA17">
        <f t="shared" si="28"/>
        <v>2.5</v>
      </c>
    </row>
    <row r="18" spans="1:27" x14ac:dyDescent="0.3">
      <c r="A18" t="s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M18" s="8" t="s">
        <v>40</v>
      </c>
      <c r="N18" s="11">
        <v>0</v>
      </c>
    </row>
    <row r="19" spans="1:27" x14ac:dyDescent="0.3">
      <c r="A19" t="s">
        <v>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M19" s="8" t="s">
        <v>14</v>
      </c>
      <c r="N19" t="s">
        <v>57</v>
      </c>
    </row>
    <row r="20" spans="1:27" x14ac:dyDescent="0.3">
      <c r="A20" t="s">
        <v>15</v>
      </c>
      <c r="B20" s="4" t="str">
        <f>IF(AF2 = 0, "", IF(AF2 = 1, 0.5, IF(AF2= 2, 1, IF(AF2=3, 1.5, IF(AF2&gt;=4, 2, "")))))</f>
        <v/>
      </c>
      <c r="C20" s="4" t="str">
        <f t="shared" ref="C20:K20" si="29">IF(AG2 = 0, "", IF(AG2 = 1, 0.5, IF(AG2= 2, 1, IF(AG2=3, 1.5, IF(AG2&gt;=4, 2, "")))))</f>
        <v/>
      </c>
      <c r="D20" s="4" t="str">
        <f t="shared" si="29"/>
        <v/>
      </c>
      <c r="E20" s="4" t="str">
        <f t="shared" si="29"/>
        <v/>
      </c>
      <c r="F20" s="4">
        <f t="shared" si="29"/>
        <v>0.5</v>
      </c>
      <c r="G20" s="4" t="str">
        <f t="shared" si="29"/>
        <v/>
      </c>
      <c r="H20" s="4" t="str">
        <f t="shared" si="29"/>
        <v/>
      </c>
      <c r="I20" s="4" t="str">
        <f>IF(AM2 = 0, "", IF(AM2 = 1, 0.5, IF(AM2= 2, 1, IF(AM2=3, 1.5, IF(AM2&gt;=4, 2, "")))))</f>
        <v/>
      </c>
      <c r="J20" s="4" t="str">
        <f t="shared" si="29"/>
        <v/>
      </c>
      <c r="K20" s="4" t="str">
        <f t="shared" si="29"/>
        <v/>
      </c>
    </row>
    <row r="21" spans="1:27" x14ac:dyDescent="0.3">
      <c r="A21" t="s">
        <v>21</v>
      </c>
      <c r="B21" s="4">
        <f>SUM(B17:B20)</f>
        <v>0</v>
      </c>
      <c r="C21" s="4">
        <f t="shared" ref="C21:K21" si="30">SUM(C17:C20)</f>
        <v>0</v>
      </c>
      <c r="D21" s="4">
        <f>SUM(D17:D20)</f>
        <v>2.5</v>
      </c>
      <c r="E21" s="4">
        <f t="shared" si="30"/>
        <v>0</v>
      </c>
      <c r="F21" s="4">
        <f t="shared" si="30"/>
        <v>3</v>
      </c>
      <c r="G21" s="4">
        <f t="shared" si="30"/>
        <v>2.5</v>
      </c>
      <c r="H21" s="4">
        <f t="shared" si="30"/>
        <v>2.5</v>
      </c>
      <c r="I21" s="4">
        <f t="shared" si="30"/>
        <v>2.5</v>
      </c>
      <c r="J21" s="4">
        <f t="shared" si="30"/>
        <v>2.5</v>
      </c>
      <c r="K21" s="4">
        <f t="shared" si="30"/>
        <v>2.5</v>
      </c>
    </row>
    <row r="26" spans="1:27" ht="25.8" x14ac:dyDescent="0.5">
      <c r="A26" s="1" t="s">
        <v>5</v>
      </c>
      <c r="B26" t="s">
        <v>11</v>
      </c>
      <c r="C26" s="10"/>
      <c r="D26" t="s">
        <v>35</v>
      </c>
    </row>
    <row r="27" spans="1:27" x14ac:dyDescent="0.3">
      <c r="B27" s="9" t="s">
        <v>30</v>
      </c>
      <c r="C27" s="9" t="s">
        <v>0</v>
      </c>
      <c r="D27" s="9" t="s">
        <v>31</v>
      </c>
      <c r="E27" s="9" t="s">
        <v>1</v>
      </c>
      <c r="F27" s="9" t="s">
        <v>2</v>
      </c>
      <c r="G27" s="9" t="s">
        <v>29</v>
      </c>
      <c r="H27" s="9" t="s">
        <v>32</v>
      </c>
      <c r="I27" s="9" t="s">
        <v>33</v>
      </c>
      <c r="J27" s="9" t="s">
        <v>3</v>
      </c>
      <c r="K27" s="9" t="s">
        <v>34</v>
      </c>
      <c r="M27" s="5" t="s">
        <v>17</v>
      </c>
      <c r="N27" s="5" t="s">
        <v>18</v>
      </c>
      <c r="O27" s="5" t="s">
        <v>19</v>
      </c>
      <c r="P27" s="5" t="s">
        <v>20</v>
      </c>
    </row>
    <row r="28" spans="1:27" x14ac:dyDescent="0.3">
      <c r="A28" t="s">
        <v>16</v>
      </c>
      <c r="B28" s="4"/>
      <c r="C28" s="4"/>
      <c r="D28" s="4"/>
      <c r="E28" s="4"/>
      <c r="F28" s="4"/>
      <c r="G28" s="4"/>
      <c r="H28" s="4"/>
      <c r="I28" s="4"/>
      <c r="J28" s="4"/>
      <c r="K28" s="4"/>
      <c r="M28" s="5"/>
      <c r="N28" s="5"/>
      <c r="O28" s="5"/>
      <c r="P28" s="6"/>
      <c r="R28" t="e">
        <f>IF(AND($C26="Мафии", SEARCH(B28,$M28)&lt;&gt;0),2.5,0)</f>
        <v>#VALUE!</v>
      </c>
      <c r="S28" t="e">
        <f t="shared" ref="S28" si="31">IF(AND($C26="Мафии", SEARCH(C28,$M28)&lt;&gt;0),2.5,0)</f>
        <v>#VALUE!</v>
      </c>
      <c r="T28" t="e">
        <f t="shared" ref="T28" si="32">IF(AND($C26="Мафии", SEARCH(D28,$M28)&lt;&gt;0),2.5,0)</f>
        <v>#VALUE!</v>
      </c>
      <c r="U28" t="e">
        <f t="shared" ref="U28" si="33">IF(AND($C26="Мафии", SEARCH(E28,$M28)&lt;&gt;0),2.5,0)</f>
        <v>#VALUE!</v>
      </c>
      <c r="V28" t="e">
        <f t="shared" ref="V28" si="34">IF(AND($C26="Мафии", SEARCH(F28,$M28)&lt;&gt;0),2.5,0)</f>
        <v>#VALUE!</v>
      </c>
      <c r="W28" t="e">
        <f t="shared" ref="W28" si="35">IF(AND($C26="Мафии", SEARCH(G28,$M28)&lt;&gt;0),2.5,0)</f>
        <v>#VALUE!</v>
      </c>
      <c r="X28" t="e">
        <f t="shared" ref="X28" si="36">IF(AND($C26="Мафии", SEARCH(H28,$M28)&lt;&gt;0),2.5,0)</f>
        <v>#VALUE!</v>
      </c>
      <c r="Y28" t="e">
        <f t="shared" ref="Y28" si="37">IF(AND($C26="Мафии", SEARCH(I28,$M28)&lt;&gt;0),2.5,0)</f>
        <v>#VALUE!</v>
      </c>
      <c r="Z28" t="e">
        <f t="shared" ref="Z28" si="38">IF(AND($C26="Мафии", SEARCH(J28,$M28)&lt;&gt;0),2.5,0)</f>
        <v>#VALUE!</v>
      </c>
      <c r="AA28" t="e">
        <f t="shared" ref="AA28" si="39">IF(AND($C26="Мафии", SEARCH(K28,$M28)&lt;&gt;0),2.5,0)</f>
        <v>#VALUE!</v>
      </c>
    </row>
    <row r="29" spans="1:27" x14ac:dyDescent="0.3">
      <c r="A29" t="s">
        <v>12</v>
      </c>
      <c r="B29" s="4" t="str">
        <f>IF(AND(ISNUMBER(SEARCH(B28,$M28)),$C$26="Мафии"),2.5,IF(AND(ISNUMBER(SEARCH(B28,$P28)),$C$26="Мирных"),2.5,""))</f>
        <v/>
      </c>
      <c r="C29" s="4" t="str">
        <f t="shared" ref="C29:K29" si="40">IF(AND(ISNUMBER(SEARCH(C28,$M28)),$C$26="Мафии"),2.5,IF(AND(ISNUMBER(SEARCH(C28,$P28)),$C$26="Мирных"),2.5,""))</f>
        <v/>
      </c>
      <c r="D29" s="4" t="str">
        <f t="shared" si="40"/>
        <v/>
      </c>
      <c r="E29" s="4" t="str">
        <f t="shared" si="40"/>
        <v/>
      </c>
      <c r="F29" s="4" t="str">
        <f t="shared" si="40"/>
        <v/>
      </c>
      <c r="G29" s="4" t="str">
        <f t="shared" si="40"/>
        <v/>
      </c>
      <c r="H29" s="4" t="str">
        <f t="shared" si="40"/>
        <v/>
      </c>
      <c r="I29" s="4" t="str">
        <f t="shared" si="40"/>
        <v/>
      </c>
      <c r="J29" s="4" t="str">
        <f t="shared" si="40"/>
        <v/>
      </c>
      <c r="K29" s="4" t="str">
        <f t="shared" si="40"/>
        <v/>
      </c>
      <c r="R29" t="e">
        <f>IF(AND($C26="Мирных", SEARCH(B28,$P28)&lt;&gt;" "),2.5,0)</f>
        <v>#VALUE!</v>
      </c>
      <c r="S29" t="e">
        <f t="shared" ref="S29" si="41">IF(AND($C26="Мирных", SEARCH(C28,$P28)&lt;&gt;0),2.5,0)</f>
        <v>#VALUE!</v>
      </c>
      <c r="T29" t="e">
        <f>IF(AND($C26="Мирных", SEARCH(D28,$P28)&lt;&gt;0),2.5,0)</f>
        <v>#VALUE!</v>
      </c>
      <c r="U29" t="e">
        <f t="shared" ref="U29" si="42">IF(AND($C26="Мирных", SEARCH(E28,$P28)&lt;&gt;0),2.5,0)</f>
        <v>#VALUE!</v>
      </c>
      <c r="V29" t="e">
        <f t="shared" ref="V29" si="43">IF(AND($C26="Мирных", SEARCH(F28,$P28)&lt;&gt;0),2.5,0)</f>
        <v>#VALUE!</v>
      </c>
      <c r="W29" t="e">
        <f t="shared" ref="W29" si="44">IF(AND($C26="Мирных", SEARCH(G28,$P28)&lt;&gt;0),2.5,0)</f>
        <v>#VALUE!</v>
      </c>
      <c r="X29" t="e">
        <f t="shared" ref="X29" si="45">IF(AND($C26="Мирных", SEARCH(H28,$P28)&lt;&gt;0),2.5,0)</f>
        <v>#VALUE!</v>
      </c>
      <c r="Y29" t="e">
        <f t="shared" ref="Y29" si="46">IF(AND($C26="Мирных", SEARCH(I28,$P28)&lt;&gt;0),2.5,0)</f>
        <v>#VALUE!</v>
      </c>
      <c r="Z29" t="e">
        <f>IF(AND($C26="Мирных", SEARCH(J28,$P28)&lt;&gt;0),2.5,0)</f>
        <v>#VALUE!</v>
      </c>
      <c r="AA29" t="e">
        <f>IF(AND($C26="Мирных", SEARCH(K28,$P28)&lt;&gt;0),2.5,0)</f>
        <v>#VALUE!</v>
      </c>
    </row>
    <row r="30" spans="1:27" x14ac:dyDescent="0.3">
      <c r="A30" t="s">
        <v>13</v>
      </c>
      <c r="B30" s="4"/>
      <c r="C30" s="4"/>
      <c r="D30" s="4"/>
      <c r="E30" s="4"/>
      <c r="F30" s="4"/>
      <c r="G30" s="4"/>
      <c r="H30" s="4"/>
      <c r="I30" s="4"/>
      <c r="J30" s="4"/>
      <c r="K30" s="4"/>
      <c r="M30" s="8" t="s">
        <v>40</v>
      </c>
      <c r="N30" s="11" t="s">
        <v>52</v>
      </c>
    </row>
    <row r="31" spans="1:27" x14ac:dyDescent="0.3">
      <c r="A31" t="s">
        <v>14</v>
      </c>
      <c r="B31" s="4"/>
      <c r="C31" s="4"/>
      <c r="D31" s="4"/>
      <c r="E31" s="4"/>
      <c r="F31" s="4"/>
      <c r="G31" s="4"/>
      <c r="H31" s="4"/>
      <c r="I31" s="4"/>
      <c r="J31" s="4"/>
      <c r="K31" s="4"/>
      <c r="M31" s="8" t="s">
        <v>14</v>
      </c>
    </row>
    <row r="32" spans="1:27" x14ac:dyDescent="0.3">
      <c r="A32" t="s">
        <v>15</v>
      </c>
      <c r="B32" s="4" t="str">
        <f>IF(B28=$N$30, IF(AF3 = 0, "", IF(AF3 = 1, 0.5, IF(AF3= 2, 1, IF(AF3=3, 1.5, IF(AF3&gt;=4, 2, ""))))),"")</f>
        <v/>
      </c>
      <c r="C32" s="4" t="str">
        <f t="shared" ref="C32:K32" si="47">IF(C28=$N$30, IF(AG3 = 0, "", IF(AG3 = 1, 0.5, IF(AG3= 2, 1, IF(AG3=3, 1.5, IF(AG3&gt;=4, 2, ""))))),"")</f>
        <v/>
      </c>
      <c r="D32" s="4" t="str">
        <f t="shared" si="47"/>
        <v/>
      </c>
      <c r="E32" s="4" t="str">
        <f t="shared" si="47"/>
        <v/>
      </c>
      <c r="F32" s="4" t="str">
        <f t="shared" si="47"/>
        <v/>
      </c>
      <c r="G32" s="4" t="str">
        <f t="shared" si="47"/>
        <v/>
      </c>
      <c r="H32" s="4" t="str">
        <f t="shared" si="47"/>
        <v/>
      </c>
      <c r="I32" s="4" t="str">
        <f t="shared" si="47"/>
        <v/>
      </c>
      <c r="J32" s="4" t="str">
        <f t="shared" si="47"/>
        <v/>
      </c>
      <c r="K32" s="4" t="str">
        <f t="shared" si="47"/>
        <v/>
      </c>
    </row>
    <row r="33" spans="1:27" x14ac:dyDescent="0.3">
      <c r="A33" t="s">
        <v>21</v>
      </c>
      <c r="B33" s="4">
        <f>SUM(B29:B32)</f>
        <v>0</v>
      </c>
      <c r="C33" s="4">
        <f t="shared" ref="C33:K33" si="48">SUM(C29:C32)</f>
        <v>0</v>
      </c>
      <c r="D33" s="4">
        <f t="shared" si="48"/>
        <v>0</v>
      </c>
      <c r="E33" s="4">
        <f t="shared" si="48"/>
        <v>0</v>
      </c>
      <c r="F33" s="4">
        <f>SUM(F29:F32)</f>
        <v>0</v>
      </c>
      <c r="G33" s="4">
        <f t="shared" si="48"/>
        <v>0</v>
      </c>
      <c r="H33" s="4">
        <f t="shared" si="48"/>
        <v>0</v>
      </c>
      <c r="I33" s="4">
        <f t="shared" si="48"/>
        <v>0</v>
      </c>
      <c r="J33" s="4">
        <f t="shared" si="48"/>
        <v>0</v>
      </c>
      <c r="K33" s="4">
        <f t="shared" si="48"/>
        <v>0</v>
      </c>
    </row>
    <row r="38" spans="1:27" ht="25.8" x14ac:dyDescent="0.5">
      <c r="A38" s="1" t="s">
        <v>6</v>
      </c>
      <c r="B38" t="s">
        <v>11</v>
      </c>
      <c r="C38" s="10"/>
      <c r="D38" t="s">
        <v>35</v>
      </c>
    </row>
    <row r="39" spans="1:27" x14ac:dyDescent="0.3">
      <c r="B39" s="9" t="s">
        <v>30</v>
      </c>
      <c r="C39" s="9" t="s">
        <v>0</v>
      </c>
      <c r="D39" s="9" t="s">
        <v>31</v>
      </c>
      <c r="E39" s="9" t="s">
        <v>1</v>
      </c>
      <c r="F39" s="9" t="s">
        <v>2</v>
      </c>
      <c r="G39" s="9" t="s">
        <v>29</v>
      </c>
      <c r="H39" s="9" t="s">
        <v>32</v>
      </c>
      <c r="I39" s="9" t="s">
        <v>33</v>
      </c>
      <c r="J39" s="9" t="s">
        <v>3</v>
      </c>
      <c r="K39" s="9" t="s">
        <v>34</v>
      </c>
      <c r="M39" s="5" t="s">
        <v>17</v>
      </c>
      <c r="N39" s="5" t="s">
        <v>18</v>
      </c>
      <c r="O39" s="5" t="s">
        <v>19</v>
      </c>
      <c r="P39" s="5" t="s">
        <v>20</v>
      </c>
    </row>
    <row r="40" spans="1:27" x14ac:dyDescent="0.3">
      <c r="A40" t="s">
        <v>16</v>
      </c>
      <c r="B40" s="4"/>
      <c r="C40" s="4"/>
      <c r="D40" s="4"/>
      <c r="E40" s="4"/>
      <c r="F40" s="4"/>
      <c r="G40" s="4"/>
      <c r="H40" s="4"/>
      <c r="I40" s="4"/>
      <c r="J40" s="4"/>
      <c r="K40" s="4"/>
      <c r="M40" s="5"/>
      <c r="N40" s="5"/>
      <c r="O40" s="5"/>
      <c r="P40" s="6"/>
      <c r="R40" t="e">
        <f>IF(AND($C38="Мафии", SEARCH(B40,$M40)&lt;&gt;0),2.5,0)</f>
        <v>#VALUE!</v>
      </c>
      <c r="S40" t="e">
        <f t="shared" ref="S40" si="49">IF(AND($C38="Мафии", SEARCH(C40,$M40)&lt;&gt;0),2.5,0)</f>
        <v>#VALUE!</v>
      </c>
      <c r="T40" t="e">
        <f t="shared" ref="T40" si="50">IF(AND($C38="Мафии", SEARCH(D40,$M40)&lt;&gt;0),2.5,0)</f>
        <v>#VALUE!</v>
      </c>
      <c r="U40" t="e">
        <f t="shared" ref="U40" si="51">IF(AND($C38="Мафии", SEARCH(E40,$M40)&lt;&gt;0),2.5,0)</f>
        <v>#VALUE!</v>
      </c>
      <c r="V40" t="e">
        <f t="shared" ref="V40" si="52">IF(AND($C38="Мафии", SEARCH(F40,$M40)&lt;&gt;0),2.5,0)</f>
        <v>#VALUE!</v>
      </c>
      <c r="W40" t="e">
        <f t="shared" ref="W40" si="53">IF(AND($C38="Мафии", SEARCH(G40,$M40)&lt;&gt;0),2.5,0)</f>
        <v>#VALUE!</v>
      </c>
      <c r="X40" t="e">
        <f t="shared" ref="X40" si="54">IF(AND($C38="Мафии", SEARCH(H40,$M40)&lt;&gt;0),2.5,0)</f>
        <v>#VALUE!</v>
      </c>
      <c r="Y40" t="e">
        <f t="shared" ref="Y40" si="55">IF(AND($C38="Мафии", SEARCH(I40,$M40)&lt;&gt;0),2.5,0)</f>
        <v>#VALUE!</v>
      </c>
      <c r="Z40" t="e">
        <f t="shared" ref="Z40" si="56">IF(AND($C38="Мафии", SEARCH(J40,$M40)&lt;&gt;0),2.5,0)</f>
        <v>#VALUE!</v>
      </c>
      <c r="AA40" t="e">
        <f t="shared" ref="AA40" si="57">IF(AND($C38="Мафии", SEARCH(K40,$M40)&lt;&gt;0),2.5,0)</f>
        <v>#VALUE!</v>
      </c>
    </row>
    <row r="41" spans="1:27" x14ac:dyDescent="0.3">
      <c r="A41" t="s">
        <v>12</v>
      </c>
      <c r="B41" s="4" t="str">
        <f>IF(AND(ISNUMBER(SEARCH(B40,$M40)),$C$38="Мафии"),2.5,IF(AND(ISNUMBER(SEARCH(B40,$P40)),$C$38="Мирных"),2.5,""))</f>
        <v/>
      </c>
      <c r="C41" s="4" t="str">
        <f t="shared" ref="C41:K41" si="58">IF(AND(ISNUMBER(SEARCH(C40,$M40)),$C$38="Мафии"),2.5,IF(AND(ISNUMBER(SEARCH(C40,$P40)),$C$38="Мирных"),2.5,""))</f>
        <v/>
      </c>
      <c r="D41" s="4" t="str">
        <f t="shared" si="58"/>
        <v/>
      </c>
      <c r="E41" s="4" t="str">
        <f t="shared" si="58"/>
        <v/>
      </c>
      <c r="F41" s="4" t="str">
        <f t="shared" si="58"/>
        <v/>
      </c>
      <c r="G41" s="4" t="str">
        <f t="shared" si="58"/>
        <v/>
      </c>
      <c r="H41" s="4" t="str">
        <f t="shared" si="58"/>
        <v/>
      </c>
      <c r="I41" s="4" t="str">
        <f t="shared" si="58"/>
        <v/>
      </c>
      <c r="J41" s="4" t="str">
        <f t="shared" si="58"/>
        <v/>
      </c>
      <c r="K41" s="4" t="str">
        <f t="shared" si="58"/>
        <v/>
      </c>
      <c r="R41" t="e">
        <f>IF(AND($C38="Мирных", SEARCH(B40,$P40)&lt;&gt;" "),2.5,0)</f>
        <v>#VALUE!</v>
      </c>
      <c r="S41" t="e">
        <f t="shared" ref="S41" si="59">IF(AND($C38="Мирных", SEARCH(C40,$P40)&lt;&gt;0),2.5,0)</f>
        <v>#VALUE!</v>
      </c>
      <c r="T41" t="e">
        <f>IF(AND($C38="Мирных", SEARCH(D40,$P40)&lt;&gt;0),2.5,0)</f>
        <v>#VALUE!</v>
      </c>
      <c r="U41" t="e">
        <f t="shared" ref="U41" si="60">IF(AND($C38="Мирных", SEARCH(E40,$P40)&lt;&gt;0),2.5,0)</f>
        <v>#VALUE!</v>
      </c>
      <c r="V41" t="e">
        <f t="shared" ref="V41" si="61">IF(AND($C38="Мирных", SEARCH(F40,$P40)&lt;&gt;0),2.5,0)</f>
        <v>#VALUE!</v>
      </c>
      <c r="W41" t="e">
        <f t="shared" ref="W41" si="62">IF(AND($C38="Мирных", SEARCH(G40,$P40)&lt;&gt;0),2.5,0)</f>
        <v>#VALUE!</v>
      </c>
      <c r="X41" t="e">
        <f t="shared" ref="X41" si="63">IF(AND($C38="Мирных", SEARCH(H40,$P40)&lt;&gt;0),2.5,0)</f>
        <v>#VALUE!</v>
      </c>
      <c r="Y41" t="e">
        <f t="shared" ref="Y41" si="64">IF(AND($C38="Мирных", SEARCH(I40,$P40)&lt;&gt;0),2.5,0)</f>
        <v>#VALUE!</v>
      </c>
      <c r="Z41" t="e">
        <f>IF(AND($C38="Мирных", SEARCH(J40,$P40)&lt;&gt;0),2.5,0)</f>
        <v>#VALUE!</v>
      </c>
      <c r="AA41" t="e">
        <f>IF(AND($C38="Мирных", SEARCH(K40,$P40)&lt;&gt;0),2.5,0)</f>
        <v>#VALUE!</v>
      </c>
    </row>
    <row r="42" spans="1:27" x14ac:dyDescent="0.3">
      <c r="A42" t="s">
        <v>13</v>
      </c>
      <c r="B42" s="4"/>
      <c r="C42" s="4"/>
      <c r="D42" s="4"/>
      <c r="E42" s="4"/>
      <c r="F42" s="4"/>
      <c r="G42" s="4"/>
      <c r="H42" s="4"/>
      <c r="I42" s="4"/>
      <c r="J42" s="4"/>
      <c r="K42" s="4"/>
      <c r="M42" s="8" t="s">
        <v>40</v>
      </c>
      <c r="N42" s="11" t="s">
        <v>52</v>
      </c>
    </row>
    <row r="43" spans="1:27" x14ac:dyDescent="0.3">
      <c r="A43" t="s">
        <v>14</v>
      </c>
      <c r="B43" s="4"/>
      <c r="C43" s="4"/>
      <c r="D43" s="4"/>
      <c r="E43" s="4"/>
      <c r="F43" s="4"/>
      <c r="G43" s="4"/>
      <c r="H43" s="4"/>
      <c r="I43" s="4"/>
      <c r="J43" s="4"/>
      <c r="K43" s="4"/>
      <c r="M43" s="8" t="s">
        <v>14</v>
      </c>
    </row>
    <row r="44" spans="1:27" x14ac:dyDescent="0.3">
      <c r="A44" t="s">
        <v>15</v>
      </c>
      <c r="B44" s="4" t="str">
        <f t="shared" ref="B44:D44" si="65">IF(B40=$N$42, IF(AF4 = 0, "", IF(AF4 = 1, 0.5, IF(AF4= 2, 1, IF(AF4=3, 1.5, IF(AF4&gt;=4, 2, ""))))),"")</f>
        <v/>
      </c>
      <c r="C44" s="4" t="str">
        <f t="shared" si="65"/>
        <v/>
      </c>
      <c r="D44" s="4" t="str">
        <f t="shared" si="65"/>
        <v/>
      </c>
      <c r="E44" s="4" t="str">
        <f>IF(E40=$N$42, IF(AI4 = 0, "", IF(AI4 = 1, 0.5, IF(AI4= 2, 1, IF(AI4=3, 1.5, IF(AI4&gt;=4, 2, ""))))),"")</f>
        <v/>
      </c>
      <c r="F44" s="4" t="str">
        <f t="shared" ref="F44:K44" si="66">IF(F40=$N$42, IF(AJ4 = 0, "", IF(AJ4 = 1, 0.5, IF(AJ4= 2, 1, IF(AJ4=3, 1.5, IF(AJ4&gt;=4, 2, ""))))),"")</f>
        <v/>
      </c>
      <c r="G44" s="4" t="str">
        <f t="shared" si="66"/>
        <v/>
      </c>
      <c r="H44" s="4" t="str">
        <f t="shared" si="66"/>
        <v/>
      </c>
      <c r="I44" s="4" t="str">
        <f t="shared" si="66"/>
        <v/>
      </c>
      <c r="J44" s="4" t="str">
        <f t="shared" si="66"/>
        <v/>
      </c>
      <c r="K44" s="4" t="str">
        <f t="shared" si="66"/>
        <v/>
      </c>
    </row>
    <row r="45" spans="1:27" x14ac:dyDescent="0.3">
      <c r="A45" t="s">
        <v>21</v>
      </c>
      <c r="B45" s="4">
        <f>SUM(B41:B44)</f>
        <v>0</v>
      </c>
      <c r="C45" s="4">
        <f t="shared" ref="C45" si="67">SUM(C41:C44)</f>
        <v>0</v>
      </c>
      <c r="D45" s="4">
        <f t="shared" ref="D45" si="68">SUM(D41:D44)</f>
        <v>0</v>
      </c>
      <c r="E45" s="4">
        <f t="shared" ref="E45" si="69">SUM(E41:E44)</f>
        <v>0</v>
      </c>
      <c r="F45" s="4">
        <f>SUM(F41:F44)</f>
        <v>0</v>
      </c>
      <c r="G45" s="4">
        <f t="shared" ref="G45" si="70">SUM(G41:G44)</f>
        <v>0</v>
      </c>
      <c r="H45" s="4">
        <f t="shared" ref="H45" si="71">SUM(H41:H44)</f>
        <v>0</v>
      </c>
      <c r="I45" s="4">
        <f t="shared" ref="I45" si="72">SUM(I41:I44)</f>
        <v>0</v>
      </c>
      <c r="J45" s="4">
        <f t="shared" ref="J45" si="73">SUM(J41:J44)</f>
        <v>0</v>
      </c>
      <c r="K45" s="4">
        <f t="shared" ref="K45" si="74">SUM(K41:K44)</f>
        <v>0</v>
      </c>
    </row>
    <row r="49" spans="1:27" ht="25.8" x14ac:dyDescent="0.5">
      <c r="A49" s="1"/>
      <c r="C49" s="10"/>
    </row>
    <row r="50" spans="1:27" ht="25.8" x14ac:dyDescent="0.5">
      <c r="A50" s="1" t="s">
        <v>7</v>
      </c>
      <c r="B50" t="s">
        <v>11</v>
      </c>
      <c r="C50" s="10"/>
      <c r="D50" t="s">
        <v>35</v>
      </c>
    </row>
    <row r="51" spans="1:27" x14ac:dyDescent="0.3">
      <c r="B51" s="9" t="s">
        <v>30</v>
      </c>
      <c r="C51" s="9" t="s">
        <v>0</v>
      </c>
      <c r="D51" s="9" t="s">
        <v>31</v>
      </c>
      <c r="E51" s="9" t="s">
        <v>1</v>
      </c>
      <c r="F51" s="9" t="s">
        <v>2</v>
      </c>
      <c r="G51" s="9" t="s">
        <v>29</v>
      </c>
      <c r="H51" s="9" t="s">
        <v>32</v>
      </c>
      <c r="I51" s="9" t="s">
        <v>33</v>
      </c>
      <c r="J51" s="9" t="s">
        <v>3</v>
      </c>
      <c r="K51" s="9" t="s">
        <v>34</v>
      </c>
      <c r="M51" s="5" t="s">
        <v>17</v>
      </c>
      <c r="N51" s="5" t="s">
        <v>18</v>
      </c>
      <c r="O51" s="5" t="s">
        <v>19</v>
      </c>
      <c r="P51" s="5" t="s">
        <v>20</v>
      </c>
    </row>
    <row r="52" spans="1:27" x14ac:dyDescent="0.3">
      <c r="A52" t="s">
        <v>16</v>
      </c>
      <c r="B52" s="4"/>
      <c r="C52" s="4"/>
      <c r="D52" s="4"/>
      <c r="E52" s="4"/>
      <c r="F52" s="4"/>
      <c r="G52" s="4"/>
      <c r="H52" s="4"/>
      <c r="I52" s="4"/>
      <c r="J52" s="4"/>
      <c r="K52" s="4"/>
      <c r="M52" s="5"/>
      <c r="N52" s="5"/>
      <c r="O52" s="5"/>
      <c r="P52" s="6"/>
      <c r="R52" t="e">
        <f>IF(AND($C50="Мафии", SEARCH(B52,$M52)&lt;&gt;0),2.5,0)</f>
        <v>#VALUE!</v>
      </c>
      <c r="S52" t="e">
        <f t="shared" ref="S52" si="75">IF(AND($C50="Мафии", SEARCH(C52,$M52)&lt;&gt;0),2.5,0)</f>
        <v>#VALUE!</v>
      </c>
      <c r="T52" t="e">
        <f t="shared" ref="T52" si="76">IF(AND($C50="Мафии", SEARCH(D52,$M52)&lt;&gt;0),2.5,0)</f>
        <v>#VALUE!</v>
      </c>
      <c r="U52" t="e">
        <f t="shared" ref="U52" si="77">IF(AND($C50="Мафии", SEARCH(E52,$M52)&lt;&gt;0),2.5,0)</f>
        <v>#VALUE!</v>
      </c>
      <c r="V52" t="e">
        <f t="shared" ref="V52" si="78">IF(AND($C50="Мафии", SEARCH(F52,$M52)&lt;&gt;0),2.5,0)</f>
        <v>#VALUE!</v>
      </c>
      <c r="W52" t="e">
        <f t="shared" ref="W52" si="79">IF(AND($C50="Мафии", SEARCH(G52,$M52)&lt;&gt;0),2.5,0)</f>
        <v>#VALUE!</v>
      </c>
      <c r="X52" t="e">
        <f t="shared" ref="X52" si="80">IF(AND($C50="Мафии", SEARCH(H52,$M52)&lt;&gt;0),2.5,0)</f>
        <v>#VALUE!</v>
      </c>
      <c r="Y52" t="e">
        <f t="shared" ref="Y52" si="81">IF(AND($C50="Мафии", SEARCH(I52,$M52)&lt;&gt;0),2.5,0)</f>
        <v>#VALUE!</v>
      </c>
      <c r="Z52" t="e">
        <f t="shared" ref="Z52" si="82">IF(AND($C50="Мафии", SEARCH(J52,$M52)&lt;&gt;0),2.5,0)</f>
        <v>#VALUE!</v>
      </c>
      <c r="AA52" t="e">
        <f t="shared" ref="AA52" si="83">IF(AND($C50="Мафии", SEARCH(K52,$M52)&lt;&gt;0),2.5,0)</f>
        <v>#VALUE!</v>
      </c>
    </row>
    <row r="53" spans="1:27" x14ac:dyDescent="0.3">
      <c r="A53" t="s">
        <v>12</v>
      </c>
      <c r="B53" s="4" t="str">
        <f t="shared" ref="B53:K53" si="84">IF(AND(ISNUMBER(SEARCH(B52,$M52)),$C$50="Мафии"),2.5,IF(AND(ISNUMBER(SEARCH(B52,$P52)),$C$50="Мирных"),2.5,""))</f>
        <v/>
      </c>
      <c r="C53" s="4" t="str">
        <f t="shared" si="84"/>
        <v/>
      </c>
      <c r="D53" s="4" t="str">
        <f t="shared" si="84"/>
        <v/>
      </c>
      <c r="E53" s="4" t="str">
        <f t="shared" si="84"/>
        <v/>
      </c>
      <c r="F53" s="4" t="str">
        <f t="shared" si="84"/>
        <v/>
      </c>
      <c r="G53" s="4" t="str">
        <f t="shared" si="84"/>
        <v/>
      </c>
      <c r="H53" s="4" t="str">
        <f t="shared" si="84"/>
        <v/>
      </c>
      <c r="I53" s="4" t="str">
        <f t="shared" si="84"/>
        <v/>
      </c>
      <c r="J53" s="4" t="str">
        <f t="shared" si="84"/>
        <v/>
      </c>
      <c r="K53" s="4" t="str">
        <f t="shared" si="84"/>
        <v/>
      </c>
      <c r="R53" t="e">
        <f>IF(AND($C50="Мирных", SEARCH(B52,$P52)&lt;&gt;" "),2.5,0)</f>
        <v>#VALUE!</v>
      </c>
      <c r="S53" t="e">
        <f t="shared" ref="S53" si="85">IF(AND($C50="Мирных", SEARCH(C52,$P52)&lt;&gt;0),2.5,0)</f>
        <v>#VALUE!</v>
      </c>
      <c r="T53" t="e">
        <f>IF(AND($C50="Мирных", SEARCH(D52,$P52)&lt;&gt;0),2.5,0)</f>
        <v>#VALUE!</v>
      </c>
      <c r="U53" t="e">
        <f t="shared" ref="U53" si="86">IF(AND($C50="Мирных", SEARCH(E52,$P52)&lt;&gt;0),2.5,0)</f>
        <v>#VALUE!</v>
      </c>
      <c r="V53" t="e">
        <f t="shared" ref="V53" si="87">IF(AND($C50="Мирных", SEARCH(F52,$P52)&lt;&gt;0),2.5,0)</f>
        <v>#VALUE!</v>
      </c>
      <c r="W53" t="e">
        <f t="shared" ref="W53" si="88">IF(AND($C50="Мирных", SEARCH(G52,$P52)&lt;&gt;0),2.5,0)</f>
        <v>#VALUE!</v>
      </c>
      <c r="X53" t="e">
        <f t="shared" ref="X53" si="89">IF(AND($C50="Мирных", SEARCH(H52,$P52)&lt;&gt;0),2.5,0)</f>
        <v>#VALUE!</v>
      </c>
      <c r="Y53" t="e">
        <f t="shared" ref="Y53" si="90">IF(AND($C50="Мирных", SEARCH(I52,$P52)&lt;&gt;0),2.5,0)</f>
        <v>#VALUE!</v>
      </c>
      <c r="Z53" t="e">
        <f>IF(AND($C50="Мирных", SEARCH(J52,$P52)&lt;&gt;0),2.5,0)</f>
        <v>#VALUE!</v>
      </c>
      <c r="AA53" t="e">
        <f>IF(AND($C50="Мирных", SEARCH(K52,$P52)&lt;&gt;0),2.5,0)</f>
        <v>#VALUE!</v>
      </c>
    </row>
    <row r="54" spans="1:27" x14ac:dyDescent="0.3">
      <c r="A54" t="s">
        <v>13</v>
      </c>
      <c r="B54" s="4"/>
      <c r="C54" s="4"/>
      <c r="D54" s="4"/>
      <c r="E54" s="4"/>
      <c r="F54" s="4"/>
      <c r="G54" s="4"/>
      <c r="H54" s="4"/>
      <c r="I54" s="4"/>
      <c r="J54" s="4"/>
      <c r="K54" s="4"/>
      <c r="M54" s="8" t="s">
        <v>40</v>
      </c>
      <c r="N54" s="11" t="s">
        <v>52</v>
      </c>
    </row>
    <row r="55" spans="1:27" x14ac:dyDescent="0.3">
      <c r="A55" t="s">
        <v>14</v>
      </c>
      <c r="B55" s="4"/>
      <c r="C55" s="4"/>
      <c r="D55" s="4"/>
      <c r="E55" s="4"/>
      <c r="F55" s="4"/>
      <c r="G55" s="4"/>
      <c r="H55" s="4"/>
      <c r="I55" s="4"/>
      <c r="J55" s="4"/>
      <c r="K55" s="4"/>
      <c r="M55" s="8" t="s">
        <v>14</v>
      </c>
    </row>
    <row r="56" spans="1:27" x14ac:dyDescent="0.3">
      <c r="A56" t="s">
        <v>15</v>
      </c>
      <c r="B56" s="4" t="str">
        <f>IF(B52=$N$54, IF(AF5 = 0, "", IF(AF5 = 1, 0.5, IF(AF5= 2, 1, IF(AF5=3, 1.5, IF(AF5&gt;=4, 2, ""))))),"")</f>
        <v/>
      </c>
      <c r="C56" s="4" t="str">
        <f t="shared" ref="C56" si="91">IF(C52=$N$30, IF(AG27 = 0, "", IF(AG27 = 1, 0.5, IF(AG27= 2, 1, IF(AG27=3, 1.5, IF(AG27&gt;=4, 2, ""))))),"")</f>
        <v/>
      </c>
      <c r="D56" s="4" t="str">
        <f t="shared" ref="D56" si="92">IF(D52=$N$30, IF(AH27 = 0, "", IF(AH27 = 1, 0.5, IF(AH27= 2, 1, IF(AH27=3, 1.5, IF(AH27&gt;=4, 2, ""))))),"")</f>
        <v/>
      </c>
      <c r="E56" s="4" t="str">
        <f t="shared" ref="E56" si="93">IF(E52=$N$30, IF(AI27 = 0, "", IF(AI27 = 1, 0.5, IF(AI27= 2, 1, IF(AI27=3, 1.5, IF(AI27&gt;=4, 2, ""))))),"")</f>
        <v/>
      </c>
      <c r="F56" s="4" t="str">
        <f t="shared" ref="F56" si="94">IF(F52=$N$30, IF(AJ27 = 0, "", IF(AJ27 = 1, 0.5, IF(AJ27= 2, 1, IF(AJ27=3, 1.5, IF(AJ27&gt;=4, 2, ""))))),"")</f>
        <v/>
      </c>
      <c r="G56" s="4" t="str">
        <f t="shared" ref="G56" si="95">IF(G52=$N$30, IF(AK27 = 0, "", IF(AK27 = 1, 0.5, IF(AK27= 2, 1, IF(AK27=3, 1.5, IF(AK27&gt;=4, 2, ""))))),"")</f>
        <v/>
      </c>
      <c r="H56" s="4" t="str">
        <f t="shared" ref="H56" si="96">IF(H52=$N$30, IF(AL27 = 0, "", IF(AL27 = 1, 0.5, IF(AL27= 2, 1, IF(AL27=3, 1.5, IF(AL27&gt;=4, 2, ""))))),"")</f>
        <v/>
      </c>
      <c r="I56" s="4" t="str">
        <f t="shared" ref="I56" si="97">IF(I52=$N$30, IF(AM27 = 0, "", IF(AM27 = 1, 0.5, IF(AM27= 2, 1, IF(AM27=3, 1.5, IF(AM27&gt;=4, 2, ""))))),"")</f>
        <v/>
      </c>
      <c r="J56" s="4" t="str">
        <f t="shared" ref="J56" si="98">IF(J52=$N$30, IF(AN27 = 0, "", IF(AN27 = 1, 0.5, IF(AN27= 2, 1, IF(AN27=3, 1.5, IF(AN27&gt;=4, 2, ""))))),"")</f>
        <v/>
      </c>
      <c r="K56" s="4" t="str">
        <f t="shared" ref="K56" si="99">IF(K52=$N$30, IF(AO27 = 0, "", IF(AO27 = 1, 0.5, IF(AO27= 2, 1, IF(AO27=3, 1.5, IF(AO27&gt;=4, 2, ""))))),"")</f>
        <v/>
      </c>
    </row>
    <row r="57" spans="1:27" x14ac:dyDescent="0.3">
      <c r="A57" t="s">
        <v>21</v>
      </c>
      <c r="B57" s="4">
        <f>SUM(B53:B56)</f>
        <v>0</v>
      </c>
      <c r="C57" s="4">
        <f t="shared" ref="C57" si="100">SUM(C53:C56)</f>
        <v>0</v>
      </c>
      <c r="D57" s="4">
        <f t="shared" ref="D57" si="101">SUM(D53:D56)</f>
        <v>0</v>
      </c>
      <c r="E57" s="4">
        <f t="shared" ref="E57" si="102">SUM(E53:E56)</f>
        <v>0</v>
      </c>
      <c r="F57" s="4">
        <f>SUM(F53:F56)</f>
        <v>0</v>
      </c>
      <c r="G57" s="4">
        <f t="shared" ref="G57" si="103">SUM(G53:G56)</f>
        <v>0</v>
      </c>
      <c r="H57" s="4">
        <f t="shared" ref="H57" si="104">SUM(H53:H56)</f>
        <v>0</v>
      </c>
      <c r="I57" s="4">
        <f t="shared" ref="I57" si="105">SUM(I53:I56)</f>
        <v>0</v>
      </c>
      <c r="J57" s="4">
        <f t="shared" ref="J57" si="106">SUM(J53:J56)</f>
        <v>0</v>
      </c>
      <c r="K57" s="4">
        <f t="shared" ref="K57" si="107">SUM(K53:K56)</f>
        <v>0</v>
      </c>
    </row>
    <row r="60" spans="1:27" ht="25.8" x14ac:dyDescent="0.5">
      <c r="A60" s="1"/>
      <c r="C60" s="2"/>
    </row>
    <row r="61" spans="1:27" x14ac:dyDescent="0.3">
      <c r="B61" s="3"/>
      <c r="C61" s="14"/>
      <c r="D61" s="3"/>
      <c r="M61" s="5"/>
      <c r="N61" s="5"/>
      <c r="O61" s="5"/>
      <c r="P61" s="5"/>
    </row>
    <row r="62" spans="1:27" ht="25.8" x14ac:dyDescent="0.5">
      <c r="A62" s="1" t="s">
        <v>8</v>
      </c>
      <c r="B62" t="s">
        <v>11</v>
      </c>
      <c r="C62" s="10"/>
      <c r="D62" t="s">
        <v>35</v>
      </c>
      <c r="E62" s="14"/>
      <c r="F62" s="14"/>
      <c r="G62" s="14"/>
      <c r="H62" s="14"/>
      <c r="I62" s="14"/>
      <c r="J62" s="14"/>
      <c r="K62" s="14"/>
    </row>
    <row r="63" spans="1:27" x14ac:dyDescent="0.3">
      <c r="B63" s="9" t="s">
        <v>30</v>
      </c>
      <c r="C63" s="9" t="s">
        <v>0</v>
      </c>
      <c r="D63" s="9" t="s">
        <v>31</v>
      </c>
      <c r="E63" s="9" t="s">
        <v>1</v>
      </c>
      <c r="F63" s="9" t="s">
        <v>2</v>
      </c>
      <c r="G63" s="9" t="s">
        <v>29</v>
      </c>
      <c r="H63" s="9" t="s">
        <v>32</v>
      </c>
      <c r="I63" s="9" t="s">
        <v>33</v>
      </c>
      <c r="J63" s="9" t="s">
        <v>3</v>
      </c>
      <c r="K63" s="9" t="s">
        <v>34</v>
      </c>
      <c r="M63" s="5" t="s">
        <v>17</v>
      </c>
      <c r="N63" s="5" t="s">
        <v>18</v>
      </c>
      <c r="O63" s="5" t="s">
        <v>19</v>
      </c>
      <c r="P63" s="5" t="s">
        <v>20</v>
      </c>
    </row>
    <row r="64" spans="1:27" x14ac:dyDescent="0.3">
      <c r="A64" t="s">
        <v>16</v>
      </c>
      <c r="B64" s="4"/>
      <c r="C64" s="4"/>
      <c r="D64" s="4"/>
      <c r="E64" s="4"/>
      <c r="F64" s="4"/>
      <c r="G64" s="4"/>
      <c r="H64" s="4"/>
      <c r="I64" s="4"/>
      <c r="J64" s="4"/>
      <c r="K64" s="4"/>
      <c r="M64" s="5"/>
      <c r="N64" s="5"/>
      <c r="O64" s="5"/>
      <c r="P64" s="6"/>
      <c r="R64" t="e">
        <f>IF(AND($C62="Мафии", SEARCH(B64,$M64)&lt;&gt;0),2.5,0)</f>
        <v>#VALUE!</v>
      </c>
      <c r="S64" t="e">
        <f t="shared" ref="S64" si="108">IF(AND($C62="Мафии", SEARCH(C64,$M64)&lt;&gt;0),2.5,0)</f>
        <v>#VALUE!</v>
      </c>
      <c r="T64" t="e">
        <f t="shared" ref="T64" si="109">IF(AND($C62="Мафии", SEARCH(D64,$M64)&lt;&gt;0),2.5,0)</f>
        <v>#VALUE!</v>
      </c>
      <c r="U64" t="e">
        <f t="shared" ref="U64" si="110">IF(AND($C62="Мафии", SEARCH(E64,$M64)&lt;&gt;0),2.5,0)</f>
        <v>#VALUE!</v>
      </c>
      <c r="V64" t="e">
        <f t="shared" ref="V64" si="111">IF(AND($C62="Мафии", SEARCH(F64,$M64)&lt;&gt;0),2.5,0)</f>
        <v>#VALUE!</v>
      </c>
      <c r="W64" t="e">
        <f t="shared" ref="W64" si="112">IF(AND($C62="Мафии", SEARCH(G64,$M64)&lt;&gt;0),2.5,0)</f>
        <v>#VALUE!</v>
      </c>
      <c r="X64" t="e">
        <f t="shared" ref="X64" si="113">IF(AND($C62="Мафии", SEARCH(H64,$M64)&lt;&gt;0),2.5,0)</f>
        <v>#VALUE!</v>
      </c>
      <c r="Y64" t="e">
        <f t="shared" ref="Y64" si="114">IF(AND($C62="Мафии", SEARCH(I64,$M64)&lt;&gt;0),2.5,0)</f>
        <v>#VALUE!</v>
      </c>
      <c r="Z64" t="e">
        <f t="shared" ref="Z64" si="115">IF(AND($C62="Мафии", SEARCH(J64,$M64)&lt;&gt;0),2.5,0)</f>
        <v>#VALUE!</v>
      </c>
      <c r="AA64" t="e">
        <f t="shared" ref="AA64" si="116">IF(AND($C62="Мафии", SEARCH(K64,$M64)&lt;&gt;0),2.5,0)</f>
        <v>#VALUE!</v>
      </c>
    </row>
    <row r="65" spans="1:27" x14ac:dyDescent="0.3">
      <c r="A65" t="s">
        <v>12</v>
      </c>
      <c r="B65" s="4" t="str">
        <f>IF(AND(ISNUMBER(SEARCH(B64,$M64)),$C$62="Мафии"),2.5,IF(AND(ISNUMBER(SEARCH(B64,$P64)),$C$62="Мирных"),2.5,""))</f>
        <v/>
      </c>
      <c r="C65" s="4" t="str">
        <f t="shared" ref="C65:K65" si="117">IF(AND(ISNUMBER(SEARCH(C64,$M64)),$C$62="Мафии"),2.5,IF(AND(ISNUMBER(SEARCH(C64,$P64)),$C$62="Мирных"),2.5,""))</f>
        <v/>
      </c>
      <c r="D65" s="4" t="str">
        <f t="shared" si="117"/>
        <v/>
      </c>
      <c r="E65" s="4" t="str">
        <f t="shared" si="117"/>
        <v/>
      </c>
      <c r="F65" s="4" t="str">
        <f t="shared" si="117"/>
        <v/>
      </c>
      <c r="G65" s="4" t="str">
        <f t="shared" si="117"/>
        <v/>
      </c>
      <c r="H65" s="4" t="str">
        <f t="shared" si="117"/>
        <v/>
      </c>
      <c r="I65" s="4" t="str">
        <f t="shared" si="117"/>
        <v/>
      </c>
      <c r="J65" s="4" t="str">
        <f t="shared" si="117"/>
        <v/>
      </c>
      <c r="K65" s="4" t="str">
        <f t="shared" si="117"/>
        <v/>
      </c>
      <c r="R65" t="e">
        <f>IF(AND($C62="Мирных", SEARCH(B64,$P64)&lt;&gt;" "),2.5,0)</f>
        <v>#VALUE!</v>
      </c>
      <c r="S65" t="e">
        <f t="shared" ref="S65" si="118">IF(AND($C62="Мирных", SEARCH(C64,$P64)&lt;&gt;0),2.5,0)</f>
        <v>#VALUE!</v>
      </c>
      <c r="T65" t="e">
        <f>IF(AND($C62="Мирных", SEARCH(D64,$P64)&lt;&gt;0),2.5,0)</f>
        <v>#VALUE!</v>
      </c>
      <c r="U65" t="e">
        <f t="shared" ref="U65" si="119">IF(AND($C62="Мирных", SEARCH(E64,$P64)&lt;&gt;0),2.5,0)</f>
        <v>#VALUE!</v>
      </c>
      <c r="V65" t="e">
        <f t="shared" ref="V65" si="120">IF(AND($C62="Мирных", SEARCH(F64,$P64)&lt;&gt;0),2.5,0)</f>
        <v>#VALUE!</v>
      </c>
      <c r="W65" t="e">
        <f t="shared" ref="W65" si="121">IF(AND($C62="Мирных", SEARCH(G64,$P64)&lt;&gt;0),2.5,0)</f>
        <v>#VALUE!</v>
      </c>
      <c r="X65" t="e">
        <f t="shared" ref="X65" si="122">IF(AND($C62="Мирных", SEARCH(H64,$P64)&lt;&gt;0),2.5,0)</f>
        <v>#VALUE!</v>
      </c>
      <c r="Y65" t="e">
        <f t="shared" ref="Y65" si="123">IF(AND($C62="Мирных", SEARCH(I64,$P64)&lt;&gt;0),2.5,0)</f>
        <v>#VALUE!</v>
      </c>
      <c r="Z65" t="e">
        <f>IF(AND($C62="Мирных", SEARCH(J64,$P64)&lt;&gt;0),2.5,0)</f>
        <v>#VALUE!</v>
      </c>
      <c r="AA65" t="e">
        <f>IF(AND($C62="Мирных", SEARCH(K64,$P64)&lt;&gt;0),2.5,0)</f>
        <v>#VALUE!</v>
      </c>
    </row>
    <row r="66" spans="1:27" x14ac:dyDescent="0.3">
      <c r="A66" t="s">
        <v>13</v>
      </c>
      <c r="B66" s="4"/>
      <c r="C66" s="4"/>
      <c r="D66" s="4"/>
      <c r="E66" s="4"/>
      <c r="F66" s="4"/>
      <c r="G66" s="4"/>
      <c r="H66" s="4"/>
      <c r="I66" s="4"/>
      <c r="J66" s="4"/>
      <c r="K66" s="4"/>
      <c r="M66" s="8" t="s">
        <v>40</v>
      </c>
      <c r="N66" s="11" t="s">
        <v>52</v>
      </c>
    </row>
    <row r="67" spans="1:27" x14ac:dyDescent="0.3">
      <c r="A67" t="s">
        <v>14</v>
      </c>
      <c r="B67" s="4"/>
      <c r="C67" s="4"/>
      <c r="D67" s="4"/>
      <c r="E67" s="4"/>
      <c r="F67" s="4"/>
      <c r="G67" s="4"/>
      <c r="H67" s="4"/>
      <c r="I67" s="4"/>
      <c r="J67" s="4"/>
      <c r="K67" s="4"/>
      <c r="M67" s="8" t="s">
        <v>14</v>
      </c>
    </row>
    <row r="68" spans="1:27" x14ac:dyDescent="0.3">
      <c r="A68" t="s">
        <v>15</v>
      </c>
      <c r="B68" s="4" t="str">
        <f>IF(B64=$N$66, IF(AF6 = 0, "", IF(AF6 = 1, 0.5, IF(AF6= 2, 1, IF(AF6=3, 1.5, IF(AF6&gt;=4, 2, ""))))),"")</f>
        <v/>
      </c>
      <c r="C68" s="4" t="str">
        <f t="shared" ref="C68:K68" si="124">IF(C64=$N$66, IF(AG6 = 0, "", IF(AG6 = 1, 0.5, IF(AG6= 2, 1, IF(AG6=3, 1.5, IF(AG6&gt;=4, 2, ""))))),"")</f>
        <v/>
      </c>
      <c r="D68" s="4" t="str">
        <f t="shared" si="124"/>
        <v/>
      </c>
      <c r="E68" s="4" t="str">
        <f t="shared" si="124"/>
        <v/>
      </c>
      <c r="F68" s="4" t="str">
        <f t="shared" si="124"/>
        <v/>
      </c>
      <c r="G68" s="4" t="str">
        <f t="shared" si="124"/>
        <v/>
      </c>
      <c r="H68" s="4" t="str">
        <f t="shared" si="124"/>
        <v/>
      </c>
      <c r="I68" s="4" t="str">
        <f t="shared" si="124"/>
        <v/>
      </c>
      <c r="J68" s="4" t="str">
        <f t="shared" si="124"/>
        <v/>
      </c>
      <c r="K68" s="4" t="str">
        <f t="shared" si="124"/>
        <v/>
      </c>
    </row>
    <row r="69" spans="1:27" x14ac:dyDescent="0.3">
      <c r="A69" t="s">
        <v>21</v>
      </c>
      <c r="B69" s="4">
        <f>SUM(B65:B68)</f>
        <v>0</v>
      </c>
      <c r="C69" s="4">
        <f t="shared" ref="C69" si="125">SUM(C65:C68)</f>
        <v>0</v>
      </c>
      <c r="D69" s="4">
        <f t="shared" ref="D69" si="126">SUM(D65:D68)</f>
        <v>0</v>
      </c>
      <c r="E69" s="4">
        <f t="shared" ref="E69" si="127">SUM(E65:E68)</f>
        <v>0</v>
      </c>
      <c r="F69" s="4">
        <f>SUM(F65:F68)</f>
        <v>0</v>
      </c>
      <c r="G69" s="4">
        <f t="shared" ref="G69" si="128">SUM(G65:G68)</f>
        <v>0</v>
      </c>
      <c r="H69" s="4">
        <f t="shared" ref="H69" si="129">SUM(H65:H68)</f>
        <v>0</v>
      </c>
      <c r="I69" s="4">
        <f t="shared" ref="I69" si="130">SUM(I65:I68)</f>
        <v>0</v>
      </c>
      <c r="J69" s="4">
        <f t="shared" ref="J69" si="131">SUM(J65:J68)</f>
        <v>0</v>
      </c>
      <c r="K69" s="4">
        <f t="shared" ref="K69" si="132">SUM(K65:K68)</f>
        <v>0</v>
      </c>
    </row>
    <row r="71" spans="1:27" ht="25.8" x14ac:dyDescent="0.5">
      <c r="A71" s="1"/>
      <c r="C71" s="2"/>
    </row>
    <row r="72" spans="1:27" x14ac:dyDescent="0.3">
      <c r="B72" s="14"/>
      <c r="C72" s="14"/>
      <c r="D72" s="14"/>
      <c r="E72" s="14"/>
      <c r="F72" s="14"/>
      <c r="G72" s="14"/>
      <c r="H72" s="14"/>
      <c r="I72" s="14"/>
      <c r="J72" s="14"/>
      <c r="K72" s="14"/>
      <c r="M72" s="5"/>
      <c r="N72" s="5"/>
      <c r="O72" s="5"/>
      <c r="P72" s="5"/>
    </row>
    <row r="73" spans="1:27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M73" s="5"/>
      <c r="N73" s="5"/>
      <c r="O73" s="5"/>
      <c r="P73" s="6"/>
    </row>
    <row r="74" spans="1:27" ht="25.8" x14ac:dyDescent="0.5">
      <c r="A74" s="1" t="s">
        <v>9</v>
      </c>
      <c r="B74" t="s">
        <v>11</v>
      </c>
      <c r="C74" s="10"/>
      <c r="D74" t="s">
        <v>35</v>
      </c>
    </row>
    <row r="75" spans="1:27" x14ac:dyDescent="0.3">
      <c r="B75" s="9" t="s">
        <v>30</v>
      </c>
      <c r="C75" s="9" t="s">
        <v>0</v>
      </c>
      <c r="D75" s="9" t="s">
        <v>31</v>
      </c>
      <c r="E75" s="9" t="s">
        <v>1</v>
      </c>
      <c r="F75" s="9" t="s">
        <v>2</v>
      </c>
      <c r="G75" s="9" t="s">
        <v>29</v>
      </c>
      <c r="H75" s="9" t="s">
        <v>32</v>
      </c>
      <c r="I75" s="9" t="s">
        <v>33</v>
      </c>
      <c r="J75" s="9" t="s">
        <v>3</v>
      </c>
      <c r="K75" s="9" t="s">
        <v>34</v>
      </c>
      <c r="M75" s="5" t="s">
        <v>17</v>
      </c>
      <c r="N75" s="5" t="s">
        <v>18</v>
      </c>
      <c r="O75" s="5" t="s">
        <v>19</v>
      </c>
      <c r="P75" s="5" t="s">
        <v>20</v>
      </c>
    </row>
    <row r="76" spans="1:27" x14ac:dyDescent="0.3">
      <c r="A76" t="s">
        <v>16</v>
      </c>
      <c r="B76" s="4"/>
      <c r="C76" s="4"/>
      <c r="D76" s="4"/>
      <c r="E76" s="4"/>
      <c r="F76" s="4"/>
      <c r="G76" s="4"/>
      <c r="H76" s="4"/>
      <c r="I76" s="4"/>
      <c r="J76" s="4"/>
      <c r="K76" s="4"/>
      <c r="M76" s="5"/>
      <c r="N76" s="5"/>
      <c r="O76" s="5"/>
      <c r="P76" s="6"/>
      <c r="R76" t="e">
        <f>IF(AND($C74="Мафии", SEARCH(B76,$M76)&lt;&gt;0),2.5,0)</f>
        <v>#VALUE!</v>
      </c>
      <c r="S76" t="e">
        <f t="shared" ref="S76" si="133">IF(AND($C74="Мафии", SEARCH(C76,$M76)&lt;&gt;0),2.5,0)</f>
        <v>#VALUE!</v>
      </c>
      <c r="T76" t="e">
        <f t="shared" ref="T76" si="134">IF(AND($C74="Мафии", SEARCH(D76,$M76)&lt;&gt;0),2.5,0)</f>
        <v>#VALUE!</v>
      </c>
      <c r="U76" t="e">
        <f t="shared" ref="U76" si="135">IF(AND($C74="Мафии", SEARCH(E76,$M76)&lt;&gt;0),2.5,0)</f>
        <v>#VALUE!</v>
      </c>
      <c r="V76" t="e">
        <f t="shared" ref="V76" si="136">IF(AND($C74="Мафии", SEARCH(F76,$M76)&lt;&gt;0),2.5,0)</f>
        <v>#VALUE!</v>
      </c>
      <c r="W76" t="e">
        <f t="shared" ref="W76" si="137">IF(AND($C74="Мафии", SEARCH(G76,$M76)&lt;&gt;0),2.5,0)</f>
        <v>#VALUE!</v>
      </c>
      <c r="X76" t="e">
        <f t="shared" ref="X76" si="138">IF(AND($C74="Мафии", SEARCH(H76,$M76)&lt;&gt;0),2.5,0)</f>
        <v>#VALUE!</v>
      </c>
      <c r="Y76" t="e">
        <f t="shared" ref="Y76" si="139">IF(AND($C74="Мафии", SEARCH(I76,$M76)&lt;&gt;0),2.5,0)</f>
        <v>#VALUE!</v>
      </c>
      <c r="Z76" t="e">
        <f t="shared" ref="Z76" si="140">IF(AND($C74="Мафии", SEARCH(J76,$M76)&lt;&gt;0),2.5,0)</f>
        <v>#VALUE!</v>
      </c>
      <c r="AA76" t="e">
        <f t="shared" ref="AA76" si="141">IF(AND($C74="Мафии", SEARCH(K76,$M76)&lt;&gt;0),2.5,0)</f>
        <v>#VALUE!</v>
      </c>
    </row>
    <row r="77" spans="1:27" x14ac:dyDescent="0.3">
      <c r="A77" t="s">
        <v>12</v>
      </c>
      <c r="B77" s="4" t="str">
        <f>IF(AND(ISNUMBER(SEARCH(B76,$M76)),$C$74="Мафии"),2.5,IF(AND(ISNUMBER(SEARCH(B76,$P76)),$C$74="Мирных"),2.5,""))</f>
        <v/>
      </c>
      <c r="C77" s="4" t="str">
        <f t="shared" ref="C77:K77" si="142">IF(AND(ISNUMBER(SEARCH(C76,$M76)),$C$74="Мафии"),2.5,IF(AND(ISNUMBER(SEARCH(C76,$P76)),$C$74="Мирных"),2.5,""))</f>
        <v/>
      </c>
      <c r="D77" s="4" t="str">
        <f t="shared" si="142"/>
        <v/>
      </c>
      <c r="E77" s="4" t="str">
        <f t="shared" si="142"/>
        <v/>
      </c>
      <c r="F77" s="4" t="str">
        <f t="shared" si="142"/>
        <v/>
      </c>
      <c r="G77" s="4" t="str">
        <f t="shared" si="142"/>
        <v/>
      </c>
      <c r="H77" s="4" t="str">
        <f t="shared" si="142"/>
        <v/>
      </c>
      <c r="I77" s="4" t="str">
        <f t="shared" si="142"/>
        <v/>
      </c>
      <c r="J77" s="4" t="str">
        <f t="shared" si="142"/>
        <v/>
      </c>
      <c r="K77" s="4" t="str">
        <f t="shared" si="142"/>
        <v/>
      </c>
      <c r="R77" t="e">
        <f>IF(AND($C74="Мирных", SEARCH(B76,$P76)&lt;&gt;" "),2.5,0)</f>
        <v>#VALUE!</v>
      </c>
      <c r="S77" t="e">
        <f t="shared" ref="S77" si="143">IF(AND($C74="Мирных", SEARCH(C76,$P76)&lt;&gt;0),2.5,0)</f>
        <v>#VALUE!</v>
      </c>
      <c r="T77" t="e">
        <f>IF(AND($C74="Мирных", SEARCH(D76,$P76)&lt;&gt;0),2.5,0)</f>
        <v>#VALUE!</v>
      </c>
      <c r="U77" t="e">
        <f t="shared" ref="U77" si="144">IF(AND($C74="Мирных", SEARCH(E76,$P76)&lt;&gt;0),2.5,0)</f>
        <v>#VALUE!</v>
      </c>
      <c r="V77" t="e">
        <f t="shared" ref="V77" si="145">IF(AND($C74="Мирных", SEARCH(F76,$P76)&lt;&gt;0),2.5,0)</f>
        <v>#VALUE!</v>
      </c>
      <c r="W77" t="e">
        <f t="shared" ref="W77" si="146">IF(AND($C74="Мирных", SEARCH(G76,$P76)&lt;&gt;0),2.5,0)</f>
        <v>#VALUE!</v>
      </c>
      <c r="X77" t="e">
        <f t="shared" ref="X77" si="147">IF(AND($C74="Мирных", SEARCH(H76,$P76)&lt;&gt;0),2.5,0)</f>
        <v>#VALUE!</v>
      </c>
      <c r="Y77" t="e">
        <f t="shared" ref="Y77" si="148">IF(AND($C74="Мирных", SEARCH(I76,$P76)&lt;&gt;0),2.5,0)</f>
        <v>#VALUE!</v>
      </c>
      <c r="Z77" t="e">
        <f>IF(AND($C74="Мирных", SEARCH(J76,$P76)&lt;&gt;0),2.5,0)</f>
        <v>#VALUE!</v>
      </c>
      <c r="AA77" t="e">
        <f>IF(AND($C74="Мирных", SEARCH(K76,$P76)&lt;&gt;0),2.5,0)</f>
        <v>#VALUE!</v>
      </c>
    </row>
    <row r="78" spans="1:27" x14ac:dyDescent="0.3">
      <c r="A78" t="s">
        <v>13</v>
      </c>
      <c r="B78" s="4"/>
      <c r="C78" s="4"/>
      <c r="D78" s="4"/>
      <c r="E78" s="4"/>
      <c r="F78" s="4"/>
      <c r="G78" s="4"/>
      <c r="H78" s="4"/>
      <c r="I78" s="4"/>
      <c r="J78" s="4"/>
      <c r="K78" s="4"/>
      <c r="M78" s="8" t="s">
        <v>40</v>
      </c>
      <c r="N78" s="11" t="s">
        <v>52</v>
      </c>
    </row>
    <row r="79" spans="1:27" x14ac:dyDescent="0.3">
      <c r="A79" t="s">
        <v>14</v>
      </c>
      <c r="B79" s="4"/>
      <c r="C79" s="4"/>
      <c r="D79" s="4"/>
      <c r="E79" s="4"/>
      <c r="F79" s="4"/>
      <c r="G79" s="4"/>
      <c r="H79" s="4"/>
      <c r="I79" s="4"/>
      <c r="J79" s="4"/>
      <c r="K79" s="4"/>
      <c r="M79" s="8" t="s">
        <v>14</v>
      </c>
    </row>
    <row r="80" spans="1:27" x14ac:dyDescent="0.3">
      <c r="A80" t="s">
        <v>15</v>
      </c>
      <c r="B80" s="4" t="str">
        <f>IF(B76=$N$78, IF(AF7 = 0, "", IF(AF7 = 1, 0.5, IF(AF7= 2, 1, IF(AF7=3, 1.5, IF(AF7&gt;=4, 2, ""))))),"")</f>
        <v/>
      </c>
      <c r="C80" s="4" t="str">
        <f t="shared" ref="C80:K80" si="149">IF(C76=$N$78, IF(AG7 = 0, "", IF(AG7 = 1, 0.5, IF(AG7= 2, 1, IF(AG7=3, 1.5, IF(AG7&gt;=4, 2, ""))))),"")</f>
        <v/>
      </c>
      <c r="D80" s="4" t="str">
        <f t="shared" si="149"/>
        <v/>
      </c>
      <c r="E80" s="4" t="str">
        <f t="shared" si="149"/>
        <v/>
      </c>
      <c r="F80" s="4" t="str">
        <f t="shared" si="149"/>
        <v/>
      </c>
      <c r="G80" s="4" t="str">
        <f t="shared" si="149"/>
        <v/>
      </c>
      <c r="H80" s="4" t="str">
        <f t="shared" si="149"/>
        <v/>
      </c>
      <c r="I80" s="4" t="str">
        <f t="shared" si="149"/>
        <v/>
      </c>
      <c r="J80" s="4" t="str">
        <f t="shared" si="149"/>
        <v/>
      </c>
      <c r="K80" s="4" t="str">
        <f t="shared" si="149"/>
        <v/>
      </c>
    </row>
    <row r="81" spans="1:27" x14ac:dyDescent="0.3">
      <c r="A81" t="s">
        <v>21</v>
      </c>
      <c r="B81" s="4">
        <f>SUM(B77:B80)</f>
        <v>0</v>
      </c>
      <c r="C81" s="4">
        <f t="shared" ref="C81" si="150">SUM(C77:C80)</f>
        <v>0</v>
      </c>
      <c r="D81" s="4">
        <f t="shared" ref="D81" si="151">SUM(D77:D80)</f>
        <v>0</v>
      </c>
      <c r="E81" s="4">
        <f t="shared" ref="E81" si="152">SUM(E77:E80)</f>
        <v>0</v>
      </c>
      <c r="F81" s="4">
        <f>SUM(F77:F80)</f>
        <v>0</v>
      </c>
      <c r="G81" s="4">
        <f t="shared" ref="G81" si="153">SUM(G77:G80)</f>
        <v>0</v>
      </c>
      <c r="H81" s="4">
        <f t="shared" ref="H81" si="154">SUM(H77:H80)</f>
        <v>0</v>
      </c>
      <c r="I81" s="4">
        <f t="shared" ref="I81" si="155">SUM(I77:I80)</f>
        <v>0</v>
      </c>
      <c r="J81" s="4">
        <f t="shared" ref="J81" si="156">SUM(J77:J80)</f>
        <v>0</v>
      </c>
      <c r="K81" s="4">
        <f t="shared" ref="K81" si="157">SUM(K77:K80)</f>
        <v>0</v>
      </c>
    </row>
    <row r="82" spans="1:27" ht="25.8" x14ac:dyDescent="0.5">
      <c r="A82" s="1"/>
      <c r="C82" s="2"/>
    </row>
    <row r="83" spans="1:27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M83" s="5"/>
      <c r="N83" s="5"/>
      <c r="O83" s="5"/>
      <c r="P83" s="5"/>
    </row>
    <row r="84" spans="1:27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M84" s="5"/>
      <c r="N84" s="5"/>
      <c r="O84" s="5"/>
      <c r="P84" s="6"/>
    </row>
    <row r="86" spans="1:27" ht="25.8" x14ac:dyDescent="0.5">
      <c r="A86" s="1" t="s">
        <v>10</v>
      </c>
      <c r="B86" t="s">
        <v>11</v>
      </c>
      <c r="C86" s="10"/>
      <c r="D86" t="s">
        <v>35</v>
      </c>
    </row>
    <row r="87" spans="1:27" x14ac:dyDescent="0.3">
      <c r="B87" s="9" t="s">
        <v>30</v>
      </c>
      <c r="C87" s="9" t="s">
        <v>0</v>
      </c>
      <c r="D87" s="9" t="s">
        <v>31</v>
      </c>
      <c r="E87" s="9" t="s">
        <v>1</v>
      </c>
      <c r="F87" s="9" t="s">
        <v>2</v>
      </c>
      <c r="G87" s="9" t="s">
        <v>29</v>
      </c>
      <c r="H87" s="9" t="s">
        <v>32</v>
      </c>
      <c r="I87" s="9" t="s">
        <v>33</v>
      </c>
      <c r="J87" s="9" t="s">
        <v>3</v>
      </c>
      <c r="K87" s="9" t="s">
        <v>34</v>
      </c>
      <c r="M87" s="5" t="s">
        <v>17</v>
      </c>
      <c r="N87" s="5" t="s">
        <v>18</v>
      </c>
      <c r="O87" s="5" t="s">
        <v>19</v>
      </c>
      <c r="P87" s="5" t="s">
        <v>20</v>
      </c>
    </row>
    <row r="88" spans="1:27" x14ac:dyDescent="0.3">
      <c r="A88" t="s">
        <v>16</v>
      </c>
      <c r="B88" s="4"/>
      <c r="C88" s="4"/>
      <c r="D88" s="4"/>
      <c r="E88" s="4"/>
      <c r="F88" s="4"/>
      <c r="G88" s="4"/>
      <c r="H88" s="4"/>
      <c r="I88" s="4"/>
      <c r="J88" s="4"/>
      <c r="K88" s="4"/>
      <c r="M88" s="5"/>
      <c r="N88" s="5"/>
      <c r="O88" s="5"/>
      <c r="P88" s="6"/>
      <c r="R88" t="e">
        <f>IF(AND($C86="Мафии", SEARCH(B88,$M88)&lt;&gt;0),2.5,0)</f>
        <v>#VALUE!</v>
      </c>
      <c r="S88" t="e">
        <f t="shared" ref="S88" si="158">IF(AND($C86="Мафии", SEARCH(C88,$M88)&lt;&gt;0),2.5,0)</f>
        <v>#VALUE!</v>
      </c>
      <c r="T88" t="e">
        <f t="shared" ref="T88" si="159">IF(AND($C86="Мафии", SEARCH(D88,$M88)&lt;&gt;0),2.5,0)</f>
        <v>#VALUE!</v>
      </c>
      <c r="U88" t="e">
        <f t="shared" ref="U88" si="160">IF(AND($C86="Мафии", SEARCH(E88,$M88)&lt;&gt;0),2.5,0)</f>
        <v>#VALUE!</v>
      </c>
      <c r="V88" t="e">
        <f t="shared" ref="V88" si="161">IF(AND($C86="Мафии", SEARCH(F88,$M88)&lt;&gt;0),2.5,0)</f>
        <v>#VALUE!</v>
      </c>
      <c r="W88" t="e">
        <f t="shared" ref="W88" si="162">IF(AND($C86="Мафии", SEARCH(G88,$M88)&lt;&gt;0),2.5,0)</f>
        <v>#VALUE!</v>
      </c>
      <c r="X88" t="e">
        <f t="shared" ref="X88" si="163">IF(AND($C86="Мафии", SEARCH(H88,$M88)&lt;&gt;0),2.5,0)</f>
        <v>#VALUE!</v>
      </c>
      <c r="Y88" t="e">
        <f t="shared" ref="Y88" si="164">IF(AND($C86="Мафии", SEARCH(I88,$M88)&lt;&gt;0),2.5,0)</f>
        <v>#VALUE!</v>
      </c>
      <c r="Z88" t="e">
        <f t="shared" ref="Z88" si="165">IF(AND($C86="Мафии", SEARCH(J88,$M88)&lt;&gt;0),2.5,0)</f>
        <v>#VALUE!</v>
      </c>
      <c r="AA88" t="e">
        <f t="shared" ref="AA88" si="166">IF(AND($C86="Мафии", SEARCH(K88,$M88)&lt;&gt;0),2.5,0)</f>
        <v>#VALUE!</v>
      </c>
    </row>
    <row r="89" spans="1:27" x14ac:dyDescent="0.3">
      <c r="A89" t="s">
        <v>12</v>
      </c>
      <c r="B89" s="4" t="str">
        <f>IF(AND(ISNUMBER(SEARCH(B88,$M88)),$C$84="Мафии"),2.5,IF(AND(ISNUMBER(SEARCH(B88,$P88)),$C$84="Мирных"),2.5,""))</f>
        <v/>
      </c>
      <c r="C89" s="4" t="str">
        <f t="shared" ref="C89:K89" si="167">IF(AND(ISNUMBER(SEARCH(C88,$M88)),$C$84="Мафии"),2.5,IF(AND(ISNUMBER(SEARCH(C88,$P88)),$C$84="Мирных"),2.5,""))</f>
        <v/>
      </c>
      <c r="D89" s="4" t="str">
        <f t="shared" si="167"/>
        <v/>
      </c>
      <c r="E89" s="4" t="str">
        <f t="shared" si="167"/>
        <v/>
      </c>
      <c r="F89" s="4" t="str">
        <f t="shared" si="167"/>
        <v/>
      </c>
      <c r="G89" s="4" t="str">
        <f t="shared" si="167"/>
        <v/>
      </c>
      <c r="H89" s="4" t="str">
        <f t="shared" si="167"/>
        <v/>
      </c>
      <c r="I89" s="4" t="str">
        <f t="shared" si="167"/>
        <v/>
      </c>
      <c r="J89" s="4" t="str">
        <f t="shared" si="167"/>
        <v/>
      </c>
      <c r="K89" s="4" t="str">
        <f t="shared" si="167"/>
        <v/>
      </c>
      <c r="R89" t="e">
        <f>IF(AND($C86="Мирных", SEARCH(B88,$P88)&lt;&gt;" "),2.5,0)</f>
        <v>#VALUE!</v>
      </c>
      <c r="S89" t="e">
        <f t="shared" ref="S89" si="168">IF(AND($C86="Мирных", SEARCH(C88,$P88)&lt;&gt;0),2.5,0)</f>
        <v>#VALUE!</v>
      </c>
      <c r="T89" t="e">
        <f>IF(AND($C86="Мирных", SEARCH(D88,$P88)&lt;&gt;0),2.5,0)</f>
        <v>#VALUE!</v>
      </c>
      <c r="U89" t="e">
        <f t="shared" ref="U89" si="169">IF(AND($C86="Мирных", SEARCH(E88,$P88)&lt;&gt;0),2.5,0)</f>
        <v>#VALUE!</v>
      </c>
      <c r="V89" t="e">
        <f t="shared" ref="V89" si="170">IF(AND($C86="Мирных", SEARCH(F88,$P88)&lt;&gt;0),2.5,0)</f>
        <v>#VALUE!</v>
      </c>
      <c r="W89" t="e">
        <f t="shared" ref="W89" si="171">IF(AND($C86="Мирных", SEARCH(G88,$P88)&lt;&gt;0),2.5,0)</f>
        <v>#VALUE!</v>
      </c>
      <c r="X89" t="e">
        <f t="shared" ref="X89" si="172">IF(AND($C86="Мирных", SEARCH(H88,$P88)&lt;&gt;0),2.5,0)</f>
        <v>#VALUE!</v>
      </c>
      <c r="Y89" t="e">
        <f t="shared" ref="Y89" si="173">IF(AND($C86="Мирных", SEARCH(I88,$P88)&lt;&gt;0),2.5,0)</f>
        <v>#VALUE!</v>
      </c>
      <c r="Z89" t="e">
        <f>IF(AND($C86="Мирных", SEARCH(J88,$P88)&lt;&gt;0),2.5,0)</f>
        <v>#VALUE!</v>
      </c>
      <c r="AA89" t="e">
        <f>IF(AND($C86="Мирных", SEARCH(K88,$P88)&lt;&gt;0),2.5,0)</f>
        <v>#VALUE!</v>
      </c>
    </row>
    <row r="90" spans="1:27" x14ac:dyDescent="0.3">
      <c r="A90" t="s">
        <v>13</v>
      </c>
      <c r="B90" s="4"/>
      <c r="C90" s="4"/>
      <c r="D90" s="4"/>
      <c r="E90" s="4"/>
      <c r="F90" s="4"/>
      <c r="G90" s="4"/>
      <c r="H90" s="4"/>
      <c r="I90" s="4"/>
      <c r="J90" s="4"/>
      <c r="K90" s="4"/>
      <c r="M90" s="8" t="s">
        <v>40</v>
      </c>
      <c r="N90" s="11" t="s">
        <v>52</v>
      </c>
    </row>
    <row r="91" spans="1:27" x14ac:dyDescent="0.3">
      <c r="A91" t="s">
        <v>14</v>
      </c>
      <c r="B91" s="4"/>
      <c r="C91" s="4"/>
      <c r="D91" s="4"/>
      <c r="E91" s="4"/>
      <c r="F91" s="4"/>
      <c r="G91" s="4"/>
      <c r="H91" s="4"/>
      <c r="I91" s="4"/>
      <c r="J91" s="4"/>
      <c r="K91" s="4"/>
      <c r="M91" s="8" t="s">
        <v>14</v>
      </c>
    </row>
    <row r="92" spans="1:27" x14ac:dyDescent="0.3">
      <c r="A92" t="s">
        <v>15</v>
      </c>
      <c r="B92" s="4" t="str">
        <f>IF(B88=$N$90, IF(AF8 = 0, "", IF(AF8 = 1, 0.5, IF(AF8= 2, 1, IF(AF8=3, 1.5, IF(AF8&gt;=4, 2, ""))))),"")</f>
        <v/>
      </c>
      <c r="C92" s="4" t="str">
        <f t="shared" ref="C92:K92" si="174">IF(C88=$N$90, IF(AG8 = 0, "", IF(AG8 = 1, 0.5, IF(AG8= 2, 1, IF(AG8=3, 1.5, IF(AG8&gt;=4, 2, ""))))),"")</f>
        <v/>
      </c>
      <c r="D92" s="4" t="str">
        <f t="shared" si="174"/>
        <v/>
      </c>
      <c r="E92" s="4" t="str">
        <f t="shared" si="174"/>
        <v/>
      </c>
      <c r="F92" s="4" t="str">
        <f t="shared" si="174"/>
        <v/>
      </c>
      <c r="G92" s="4" t="str">
        <f t="shared" si="174"/>
        <v/>
      </c>
      <c r="H92" s="4" t="str">
        <f t="shared" si="174"/>
        <v/>
      </c>
      <c r="I92" s="4" t="str">
        <f t="shared" si="174"/>
        <v/>
      </c>
      <c r="J92" s="4" t="str">
        <f t="shared" si="174"/>
        <v/>
      </c>
      <c r="K92" s="4" t="str">
        <f t="shared" si="174"/>
        <v/>
      </c>
    </row>
    <row r="93" spans="1:27" x14ac:dyDescent="0.3">
      <c r="A93" t="s">
        <v>21</v>
      </c>
      <c r="B93" s="4">
        <f>SUM(B89:B92)</f>
        <v>0</v>
      </c>
      <c r="C93" s="4">
        <f t="shared" ref="C93" si="175">SUM(C89:C92)</f>
        <v>0</v>
      </c>
      <c r="D93" s="4">
        <f t="shared" ref="D93" si="176">SUM(D89:D92)</f>
        <v>0</v>
      </c>
      <c r="E93" s="4">
        <f t="shared" ref="E93" si="177">SUM(E89:E92)</f>
        <v>0</v>
      </c>
      <c r="F93" s="4">
        <f>SUM(F89:F92)</f>
        <v>0</v>
      </c>
      <c r="G93" s="4">
        <f t="shared" ref="G93" si="178">SUM(G89:G92)</f>
        <v>0</v>
      </c>
      <c r="H93" s="4">
        <f t="shared" ref="H93" si="179">SUM(H89:H92)</f>
        <v>0</v>
      </c>
      <c r="I93" s="4">
        <f t="shared" ref="I93" si="180">SUM(I89:I92)</f>
        <v>0</v>
      </c>
      <c r="J93" s="4">
        <f t="shared" ref="J93" si="181">SUM(J89:J92)</f>
        <v>0</v>
      </c>
      <c r="K93" s="4">
        <f t="shared" ref="K93" si="182">SUM(K89:K92)</f>
        <v>0</v>
      </c>
    </row>
    <row r="98" spans="1:27" ht="25.8" x14ac:dyDescent="0.5">
      <c r="A98" s="1" t="s">
        <v>36</v>
      </c>
      <c r="B98" t="s">
        <v>11</v>
      </c>
      <c r="C98" s="10"/>
      <c r="D98" t="s">
        <v>35</v>
      </c>
    </row>
    <row r="99" spans="1:27" x14ac:dyDescent="0.3">
      <c r="B99" s="9" t="s">
        <v>30</v>
      </c>
      <c r="C99" s="9" t="s">
        <v>0</v>
      </c>
      <c r="D99" s="9" t="s">
        <v>31</v>
      </c>
      <c r="E99" s="9" t="s">
        <v>1</v>
      </c>
      <c r="F99" s="9" t="s">
        <v>2</v>
      </c>
      <c r="G99" s="9" t="s">
        <v>29</v>
      </c>
      <c r="H99" s="9" t="s">
        <v>32</v>
      </c>
      <c r="I99" s="9" t="s">
        <v>33</v>
      </c>
      <c r="J99" s="9" t="s">
        <v>3</v>
      </c>
      <c r="K99" s="9" t="s">
        <v>34</v>
      </c>
      <c r="M99" s="5" t="s">
        <v>17</v>
      </c>
      <c r="N99" s="5" t="s">
        <v>18</v>
      </c>
      <c r="O99" s="5" t="s">
        <v>19</v>
      </c>
      <c r="P99" s="5" t="s">
        <v>20</v>
      </c>
    </row>
    <row r="100" spans="1:27" x14ac:dyDescent="0.3">
      <c r="A100" t="s">
        <v>16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M100" s="5"/>
      <c r="N100" s="5"/>
      <c r="O100" s="5"/>
      <c r="P100" s="6"/>
      <c r="R100" t="e">
        <f>IF(AND($C98="Мафии", SEARCH(B100,$M100)&lt;&gt;0),2.5,0)</f>
        <v>#VALUE!</v>
      </c>
      <c r="S100" t="e">
        <f t="shared" ref="S100" si="183">IF(AND($C98="Мафии", SEARCH(C100,$M100)&lt;&gt;0),2.5,0)</f>
        <v>#VALUE!</v>
      </c>
      <c r="T100" t="e">
        <f t="shared" ref="T100" si="184">IF(AND($C98="Мафии", SEARCH(D100,$M100)&lt;&gt;0),2.5,0)</f>
        <v>#VALUE!</v>
      </c>
      <c r="U100" t="e">
        <f t="shared" ref="U100" si="185">IF(AND($C98="Мафии", SEARCH(E100,$M100)&lt;&gt;0),2.5,0)</f>
        <v>#VALUE!</v>
      </c>
      <c r="V100" t="e">
        <f t="shared" ref="V100" si="186">IF(AND($C98="Мафии", SEARCH(F100,$M100)&lt;&gt;0),2.5,0)</f>
        <v>#VALUE!</v>
      </c>
      <c r="W100" t="e">
        <f t="shared" ref="W100" si="187">IF(AND($C98="Мафии", SEARCH(G100,$M100)&lt;&gt;0),2.5,0)</f>
        <v>#VALUE!</v>
      </c>
      <c r="X100" t="e">
        <f t="shared" ref="X100" si="188">IF(AND($C98="Мафии", SEARCH(H100,$M100)&lt;&gt;0),2.5,0)</f>
        <v>#VALUE!</v>
      </c>
      <c r="Y100" t="e">
        <f t="shared" ref="Y100" si="189">IF(AND($C98="Мафии", SEARCH(I100,$M100)&lt;&gt;0),2.5,0)</f>
        <v>#VALUE!</v>
      </c>
      <c r="Z100" t="e">
        <f t="shared" ref="Z100" si="190">IF(AND($C98="Мафии", SEARCH(J100,$M100)&lt;&gt;0),2.5,0)</f>
        <v>#VALUE!</v>
      </c>
      <c r="AA100" t="e">
        <f t="shared" ref="AA100" si="191">IF(AND($C98="Мафии", SEARCH(K100,$M100)&lt;&gt;0),2.5,0)</f>
        <v>#VALUE!</v>
      </c>
    </row>
    <row r="101" spans="1:27" x14ac:dyDescent="0.3">
      <c r="A101" t="s">
        <v>12</v>
      </c>
      <c r="B101" s="4" t="str">
        <f>IF(AND(ISNUMBER(SEARCH(B100,$M100)),$C$98="Мафии"),2.5,IF(AND(ISNUMBER(SEARCH(B100,$P100)),$C$98="Мирных"),2.5,""))</f>
        <v/>
      </c>
      <c r="C101" s="4" t="str">
        <f t="shared" ref="C101:K101" si="192">IF(AND(ISNUMBER(SEARCH(C100,$M100)),$C$98="Мафии"),2.5,IF(AND(ISNUMBER(SEARCH(C100,$P100)),$C$98="Мирных"),2.5,""))</f>
        <v/>
      </c>
      <c r="D101" s="4" t="str">
        <f t="shared" si="192"/>
        <v/>
      </c>
      <c r="E101" s="4" t="str">
        <f t="shared" si="192"/>
        <v/>
      </c>
      <c r="F101" s="4" t="str">
        <f t="shared" si="192"/>
        <v/>
      </c>
      <c r="G101" s="4" t="str">
        <f t="shared" si="192"/>
        <v/>
      </c>
      <c r="H101" s="4" t="str">
        <f t="shared" si="192"/>
        <v/>
      </c>
      <c r="I101" s="4" t="str">
        <f t="shared" si="192"/>
        <v/>
      </c>
      <c r="J101" s="4" t="str">
        <f t="shared" si="192"/>
        <v/>
      </c>
      <c r="K101" s="4" t="str">
        <f t="shared" si="192"/>
        <v/>
      </c>
      <c r="R101" t="e">
        <f>IF(AND($C98="Мирных", SEARCH(B100,$P100)&lt;&gt;" "),2.5,0)</f>
        <v>#VALUE!</v>
      </c>
      <c r="S101" t="e">
        <f t="shared" ref="S101" si="193">IF(AND($C98="Мирных", SEARCH(C100,$P100)&lt;&gt;0),2.5,0)</f>
        <v>#VALUE!</v>
      </c>
      <c r="T101" t="e">
        <f>IF(AND($C98="Мирных", SEARCH(D100,$P100)&lt;&gt;0),2.5,0)</f>
        <v>#VALUE!</v>
      </c>
      <c r="U101" t="e">
        <f t="shared" ref="U101" si="194">IF(AND($C98="Мирных", SEARCH(E100,$P100)&lt;&gt;0),2.5,0)</f>
        <v>#VALUE!</v>
      </c>
      <c r="V101" t="e">
        <f t="shared" ref="V101" si="195">IF(AND($C98="Мирных", SEARCH(F100,$P100)&lt;&gt;0),2.5,0)</f>
        <v>#VALUE!</v>
      </c>
      <c r="W101" t="e">
        <f t="shared" ref="W101" si="196">IF(AND($C98="Мирных", SEARCH(G100,$P100)&lt;&gt;0),2.5,0)</f>
        <v>#VALUE!</v>
      </c>
      <c r="X101" t="e">
        <f t="shared" ref="X101" si="197">IF(AND($C98="Мирных", SEARCH(H100,$P100)&lt;&gt;0),2.5,0)</f>
        <v>#VALUE!</v>
      </c>
      <c r="Y101" t="e">
        <f t="shared" ref="Y101" si="198">IF(AND($C98="Мирных", SEARCH(I100,$P100)&lt;&gt;0),2.5,0)</f>
        <v>#VALUE!</v>
      </c>
      <c r="Z101" t="e">
        <f>IF(AND($C98="Мирных", SEARCH(J100,$P100)&lt;&gt;0),2.5,0)</f>
        <v>#VALUE!</v>
      </c>
      <c r="AA101" t="e">
        <f>IF(AND($C98="Мирных", SEARCH(K100,$P100)&lt;&gt;0),2.5,0)</f>
        <v>#VALUE!</v>
      </c>
    </row>
    <row r="102" spans="1:27" x14ac:dyDescent="0.3">
      <c r="A102" t="s">
        <v>13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M102" s="8" t="s">
        <v>40</v>
      </c>
      <c r="N102" s="11" t="s">
        <v>52</v>
      </c>
    </row>
    <row r="103" spans="1:27" x14ac:dyDescent="0.3">
      <c r="A103" t="s">
        <v>14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M103" s="8" t="s">
        <v>14</v>
      </c>
    </row>
    <row r="104" spans="1:27" x14ac:dyDescent="0.3">
      <c r="A104" t="s">
        <v>15</v>
      </c>
      <c r="B104" s="4" t="str">
        <f>IF(B100=$N$102, IF(AF9 = 0, "", IF(AF9 = 1, 0.5, IF(AF9= 2, 1, IF(AF9=3, 1.5, IF(AF9&gt;=4, 2, ""))))),"")</f>
        <v/>
      </c>
      <c r="C104" s="4" t="str">
        <f t="shared" ref="C104:K104" si="199">IF(C100=$N$102, IF(AG9 = 0, "", IF(AG9 = 1, 0.5, IF(AG9= 2, 1, IF(AG9=3, 1.5, IF(AG9&gt;=4, 2, ""))))),"")</f>
        <v/>
      </c>
      <c r="D104" s="4" t="str">
        <f t="shared" si="199"/>
        <v/>
      </c>
      <c r="E104" s="4" t="str">
        <f t="shared" si="199"/>
        <v/>
      </c>
      <c r="F104" s="4" t="str">
        <f t="shared" si="199"/>
        <v/>
      </c>
      <c r="G104" s="4" t="str">
        <f t="shared" si="199"/>
        <v/>
      </c>
      <c r="H104" s="4" t="str">
        <f t="shared" si="199"/>
        <v/>
      </c>
      <c r="I104" s="4" t="str">
        <f t="shared" si="199"/>
        <v/>
      </c>
      <c r="J104" s="4" t="str">
        <f t="shared" si="199"/>
        <v/>
      </c>
      <c r="K104" s="4" t="str">
        <f t="shared" si="199"/>
        <v/>
      </c>
    </row>
    <row r="105" spans="1:27" x14ac:dyDescent="0.3">
      <c r="A105" t="s">
        <v>21</v>
      </c>
      <c r="B105" s="4">
        <f>SUM(B101:B104)</f>
        <v>0</v>
      </c>
      <c r="C105" s="4">
        <f t="shared" ref="C105" si="200">SUM(C101:C104)</f>
        <v>0</v>
      </c>
      <c r="D105" s="4">
        <f t="shared" ref="D105" si="201">SUM(D101:D104)</f>
        <v>0</v>
      </c>
      <c r="E105" s="4">
        <f t="shared" ref="E105" si="202">SUM(E101:E104)</f>
        <v>0</v>
      </c>
      <c r="F105" s="4">
        <f>SUM(F101:F104)</f>
        <v>0</v>
      </c>
      <c r="G105" s="4">
        <f t="shared" ref="G105" si="203">SUM(G101:G104)</f>
        <v>0</v>
      </c>
      <c r="H105" s="4">
        <f t="shared" ref="H105" si="204">SUM(H101:H104)</f>
        <v>0</v>
      </c>
      <c r="I105" s="4">
        <f t="shared" ref="I105" si="205">SUM(I101:I104)</f>
        <v>0</v>
      </c>
      <c r="J105" s="4">
        <f t="shared" ref="J105" si="206">SUM(J101:J104)</f>
        <v>0</v>
      </c>
      <c r="K105" s="4">
        <f t="shared" ref="K105" si="207">SUM(K101:K104)</f>
        <v>0</v>
      </c>
    </row>
    <row r="110" spans="1:27" ht="25.8" x14ac:dyDescent="0.5">
      <c r="A110" s="1"/>
      <c r="C110" s="10"/>
    </row>
    <row r="111" spans="1:27" x14ac:dyDescent="0.3">
      <c r="B111" s="13"/>
      <c r="C111" s="13"/>
      <c r="D111" s="13"/>
      <c r="E111" s="13"/>
      <c r="F111" s="15"/>
      <c r="G111" s="13"/>
      <c r="H111" s="13"/>
      <c r="I111" s="13"/>
      <c r="J111" s="13"/>
      <c r="K111" s="13"/>
      <c r="M111" s="5"/>
      <c r="N111" s="5"/>
      <c r="O111" s="5"/>
      <c r="P111" s="5"/>
    </row>
    <row r="112" spans="1:27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M112" s="5"/>
      <c r="N112" s="5"/>
      <c r="O112" s="5"/>
      <c r="P112" s="6"/>
    </row>
    <row r="113" spans="1:14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4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M114" s="8"/>
      <c r="N114" s="11"/>
    </row>
    <row r="115" spans="1:14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M115" s="8"/>
    </row>
    <row r="116" spans="1:14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4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28" spans="1:14" x14ac:dyDescent="0.3">
      <c r="A128" s="7"/>
    </row>
    <row r="146" spans="6:6" x14ac:dyDescent="0.3">
      <c r="F146" s="7"/>
    </row>
  </sheetData>
  <conditionalFormatting sqref="B61:D61">
    <cfRule type="expression" dxfId="49" priority="60">
      <formula>FIND(B62,$M62)</formula>
    </cfRule>
    <cfRule type="expression" dxfId="48" priority="59">
      <formula>FIND(B62,$P62)</formula>
    </cfRule>
  </conditionalFormatting>
  <conditionalFormatting sqref="B15:K15">
    <cfRule type="expression" dxfId="47" priority="48">
      <formula>FIND(B$16,$P$16)</formula>
    </cfRule>
    <cfRule type="expression" dxfId="46" priority="45">
      <formula>FIND(B$16,$M$16)</formula>
    </cfRule>
  </conditionalFormatting>
  <conditionalFormatting sqref="B27:K27">
    <cfRule type="expression" dxfId="45" priority="30">
      <formula>FIND(B$28,$P$28)</formula>
    </cfRule>
    <cfRule type="expression" dxfId="44" priority="29">
      <formula>FIND(B$28,$M$28)</formula>
    </cfRule>
  </conditionalFormatting>
  <conditionalFormatting sqref="B39:K39">
    <cfRule type="expression" dxfId="43" priority="26">
      <formula>FIND(B$40,$P$40)</formula>
    </cfRule>
    <cfRule type="expression" dxfId="42" priority="25">
      <formula>FIND(B$40,$M$40)</formula>
    </cfRule>
  </conditionalFormatting>
  <conditionalFormatting sqref="B51:K51">
    <cfRule type="expression" dxfId="41" priority="21">
      <formula>FIND(B$52,$M$52)</formula>
    </cfRule>
    <cfRule type="expression" dxfId="40" priority="22">
      <formula>FIND(B$52,$P$52)</formula>
    </cfRule>
  </conditionalFormatting>
  <conditionalFormatting sqref="B63:K63">
    <cfRule type="expression" dxfId="39" priority="17">
      <formula>FIND(B$64,$M$64)</formula>
    </cfRule>
    <cfRule type="expression" dxfId="38" priority="18">
      <formula>FIND(B$64,$P$64)</formula>
    </cfRule>
  </conditionalFormatting>
  <conditionalFormatting sqref="B72:K72">
    <cfRule type="expression" dxfId="37" priority="56">
      <formula>FIND(B73,$M73)</formula>
    </cfRule>
    <cfRule type="expression" dxfId="36" priority="55">
      <formula>FIND(B73,$P73)</formula>
    </cfRule>
  </conditionalFormatting>
  <conditionalFormatting sqref="B75:K75">
    <cfRule type="expression" dxfId="35" priority="13">
      <formula>FIND(B$76,$M$76)</formula>
    </cfRule>
    <cfRule type="expression" dxfId="34" priority="14">
      <formula>FIND(B$76,$P$76)</formula>
    </cfRule>
  </conditionalFormatting>
  <conditionalFormatting sqref="B83:K83">
    <cfRule type="expression" dxfId="33" priority="52">
      <formula>FIND(B84,$M84)</formula>
    </cfRule>
    <cfRule type="expression" dxfId="32" priority="51">
      <formula>FIND(B84,$P84)</formula>
    </cfRule>
  </conditionalFormatting>
  <conditionalFormatting sqref="B87:K87">
    <cfRule type="expression" dxfId="31" priority="9">
      <formula>FIND(B$88,$M$88)</formula>
    </cfRule>
    <cfRule type="expression" dxfId="30" priority="10">
      <formula>FIND(B$88,$P$88)</formula>
    </cfRule>
  </conditionalFormatting>
  <conditionalFormatting sqref="B99:K99">
    <cfRule type="expression" dxfId="29" priority="5">
      <formula>FIND(B$100,$M$100)</formula>
    </cfRule>
    <cfRule type="expression" dxfId="28" priority="6">
      <formula>FIND(B$100,$P$100)</formula>
    </cfRule>
  </conditionalFormatting>
  <conditionalFormatting sqref="B111:K111">
    <cfRule type="expression" dxfId="27" priority="2">
      <formula>FIND(B$28,$P$28)</formula>
    </cfRule>
    <cfRule type="expression" dxfId="26" priority="1">
      <formula>FIND(B$28,$M$28)</formula>
    </cfRule>
  </conditionalFormatting>
  <conditionalFormatting sqref="C14">
    <cfRule type="expression" dxfId="25" priority="86">
      <formula>IF(C14="Мафии",1,0)</formula>
    </cfRule>
    <cfRule type="expression" dxfId="24" priority="87">
      <formula>IF(C14="Мирных",1,0)</formula>
    </cfRule>
  </conditionalFormatting>
  <conditionalFormatting sqref="C26">
    <cfRule type="expression" dxfId="23" priority="31">
      <formula>IF(C26="Мафии",1,0)</formula>
    </cfRule>
    <cfRule type="expression" dxfId="22" priority="32">
      <formula>IF(C26="Мирных",1,0)</formula>
    </cfRule>
  </conditionalFormatting>
  <conditionalFormatting sqref="C38">
    <cfRule type="expression" dxfId="21" priority="27">
      <formula>IF(C38="Мафии",1,0)</formula>
    </cfRule>
    <cfRule type="expression" dxfId="20" priority="28">
      <formula>IF(C38="Мирных",1,0)</formula>
    </cfRule>
  </conditionalFormatting>
  <conditionalFormatting sqref="C49:C50">
    <cfRule type="expression" dxfId="19" priority="24">
      <formula>IF(C49="Мирных",1,0)</formula>
    </cfRule>
    <cfRule type="expression" dxfId="18" priority="23">
      <formula>IF(C49="Мафии",1,0)</formula>
    </cfRule>
  </conditionalFormatting>
  <conditionalFormatting sqref="C60">
    <cfRule type="expression" dxfId="17" priority="57">
      <formula>IF(C60="Мафии",1,0)</formula>
    </cfRule>
    <cfRule type="expression" dxfId="16" priority="58">
      <formula>IF(C60="Мирных",1,0)</formula>
    </cfRule>
  </conditionalFormatting>
  <conditionalFormatting sqref="C62">
    <cfRule type="expression" dxfId="15" priority="20">
      <formula>IF(C62="Мирных",1,0)</formula>
    </cfRule>
    <cfRule type="expression" dxfId="14" priority="19">
      <formula>IF(C62="Мафии",1,0)</formula>
    </cfRule>
  </conditionalFormatting>
  <conditionalFormatting sqref="C71">
    <cfRule type="expression" dxfId="13" priority="53">
      <formula>IF(C71="Мафии",1,0)</formula>
    </cfRule>
    <cfRule type="expression" dxfId="12" priority="54">
      <formula>IF(C71="Мирных",1,0)</formula>
    </cfRule>
  </conditionalFormatting>
  <conditionalFormatting sqref="C74">
    <cfRule type="expression" dxfId="11" priority="16">
      <formula>IF(C74="Мирных",1,0)</formula>
    </cfRule>
    <cfRule type="expression" dxfId="10" priority="15">
      <formula>IF(C74="Мафии",1,0)</formula>
    </cfRule>
  </conditionalFormatting>
  <conditionalFormatting sqref="C82">
    <cfRule type="expression" dxfId="9" priority="49">
      <formula>IF(C82="Мафии",1,0)</formula>
    </cfRule>
    <cfRule type="expression" dxfId="8" priority="50">
      <formula>IF(C82="Мирных",1,0)</formula>
    </cfRule>
  </conditionalFormatting>
  <conditionalFormatting sqref="C86">
    <cfRule type="expression" dxfId="7" priority="12">
      <formula>IF(C86="Мирных",1,0)</formula>
    </cfRule>
    <cfRule type="expression" dxfId="6" priority="11">
      <formula>IF(C86="Мафии",1,0)</formula>
    </cfRule>
  </conditionalFormatting>
  <conditionalFormatting sqref="C98">
    <cfRule type="expression" dxfId="5" priority="7">
      <formula>IF(C98="Мафии",1,0)</formula>
    </cfRule>
    <cfRule type="expression" dxfId="4" priority="8">
      <formula>IF(C98="Мирных",1,0)</formula>
    </cfRule>
  </conditionalFormatting>
  <conditionalFormatting sqref="C110">
    <cfRule type="expression" dxfId="3" priority="4">
      <formula>IF(C110="Мирных",1,0)</formula>
    </cfRule>
    <cfRule type="expression" dxfId="2" priority="3">
      <formula>IF(C110="Мафии",1,0)</formula>
    </cfRule>
  </conditionalFormatting>
  <conditionalFormatting sqref="E62:K62">
    <cfRule type="expression" dxfId="1" priority="90">
      <formula>FIND(#REF!,$P62)</formula>
    </cfRule>
    <cfRule type="expression" dxfId="0" priority="91">
      <formula>FIND(#REF!,$M62)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EDF0FD1F984CD41846564525C63063E" ma:contentTypeVersion="0" ma:contentTypeDescription="Создание документа." ma:contentTypeScope="" ma:versionID="96f7ed7575d5d1c56f300f09785144b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f4b44efb4ceaeb320d7180735c41ae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77BFE-0A8D-4D5A-A54F-4201B5378A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3845FAE-A0AA-4326-A1DC-C3F2B2F6C15E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683466-7418-4FB9-A651-DB1FABFF7C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Закиров Ислам Фадисович</dc:creator>
  <cp:lastModifiedBy>Закиров Ислам Фадисович</cp:lastModifiedBy>
  <dcterms:created xsi:type="dcterms:W3CDTF">2023-11-24T13:14:24Z</dcterms:created>
  <dcterms:modified xsi:type="dcterms:W3CDTF">2025-03-07T14:34:30Z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0x0101000EDF0FD1F984CD41846564525C63063E</vt:lpwstr>
  </property>
</Properties>
</file>